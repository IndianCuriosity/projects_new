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s_new\configs\"/>
    </mc:Choice>
  </mc:AlternateContent>
  <xr:revisionPtr revIDLastSave="0" documentId="13_ncr:1_{E5790E4D-ACFF-44EE-933F-211F7C3A06E8}" xr6:coauthVersionLast="47" xr6:coauthVersionMax="47" xr10:uidLastSave="{00000000-0000-0000-0000-000000000000}"/>
  <bookViews>
    <workbookView xWindow="28680" yWindow="-120" windowWidth="29040" windowHeight="15720" firstSheet="4" activeTab="7" xr2:uid="{79601D34-AE74-4859-9D31-E2B3AB2D0E91}"/>
  </bookViews>
  <sheets>
    <sheet name="Sheet12" sheetId="13" r:id="rId1"/>
    <sheet name="FxImpliedYieldTickers" sheetId="1" r:id="rId2"/>
    <sheet name="FxSpotTickers" sheetId="9" r:id="rId3"/>
    <sheet name="FxFixingTickers" sheetId="8" r:id="rId4"/>
    <sheet name="FxPointsTickers" sheetId="10" r:id="rId5"/>
    <sheet name="FxForwardTickers" sheetId="12" r:id="rId6"/>
    <sheet name="FxVolTickers" sheetId="11" r:id="rId7"/>
    <sheet name="TenorsCalendarDays" sheetId="2" r:id="rId8"/>
    <sheet name="TenorsBusinessDays" sheetId="7" r:id="rId9"/>
    <sheet name="CurrPairRateConventions" sheetId="3" r:id="rId10"/>
    <sheet name="CurrPairSpotDaysConventions" sheetId="4" r:id="rId11"/>
    <sheet name="CurrRateConventions" sheetId="5" r:id="rId12"/>
    <sheet name="SwapFactors" sheetId="6" r:id="rId13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25" i="13" l="1"/>
  <c r="M24" i="13"/>
  <c r="O5" i="13"/>
  <c r="O6" i="13"/>
  <c r="O7" i="13"/>
  <c r="O8" i="13"/>
  <c r="O9" i="13"/>
  <c r="O10" i="13"/>
  <c r="O11" i="13"/>
  <c r="O12" i="13"/>
  <c r="O13" i="13"/>
  <c r="O14" i="13"/>
  <c r="O15" i="13"/>
  <c r="O16" i="13"/>
  <c r="O17" i="13"/>
  <c r="B2" i="13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" i="9"/>
  <c r="M26" i="13" a="1"/>
  <c r="Q15" i="13" a="1"/>
  <c r="R15" i="13" a="1"/>
  <c r="Q11" i="13" a="1"/>
  <c r="R11" i="13" a="1"/>
  <c r="Q16" i="13" a="1"/>
  <c r="R16" i="13" a="1"/>
  <c r="Q10" i="13" a="1"/>
  <c r="R10" i="13" a="1"/>
  <c r="R5" i="13" a="1"/>
  <c r="Q5" i="13" a="1"/>
  <c r="R17" i="13" a="1"/>
  <c r="Q17" i="13" a="1"/>
  <c r="Q9" i="13" a="1"/>
  <c r="R9" i="13" a="1"/>
  <c r="R13" i="13" a="1"/>
  <c r="Q13" i="13" a="1"/>
  <c r="R6" i="13" a="1"/>
  <c r="Q6" i="13" a="1"/>
  <c r="M21" i="13" a="1"/>
  <c r="M23" i="13" a="1"/>
  <c r="B6" i="13" a="1"/>
  <c r="B4" i="13" a="1"/>
  <c r="Q12" i="13" a="1"/>
  <c r="R12" i="13" a="1"/>
  <c r="Q7" i="13" a="1"/>
  <c r="R7" i="13" a="1"/>
  <c r="Q8" i="13" a="1"/>
  <c r="R8" i="13" a="1"/>
  <c r="Q14" i="13" a="1"/>
  <c r="R14" i="13" a="1"/>
  <c r="U7" i="13" a="1"/>
  <c r="R14" i="13" l="1"/>
  <c r="Q14" i="13"/>
  <c r="R8" i="13"/>
  <c r="Q8" i="13"/>
  <c r="R7" i="13"/>
  <c r="Q7" i="13"/>
  <c r="R12" i="13"/>
  <c r="Q12" i="13"/>
  <c r="B4" i="13"/>
  <c r="B6" i="13"/>
  <c r="M23" i="13"/>
  <c r="M21" i="13"/>
  <c r="Q6" i="13"/>
  <c r="R6" i="13"/>
  <c r="Q13" i="13"/>
  <c r="R13" i="13"/>
  <c r="R9" i="13"/>
  <c r="Q9" i="13"/>
  <c r="Q17" i="13"/>
  <c r="R17" i="13"/>
  <c r="Q5" i="13"/>
  <c r="R5" i="13"/>
  <c r="R10" i="13"/>
  <c r="Q10" i="13"/>
  <c r="R16" i="13"/>
  <c r="Q16" i="13"/>
  <c r="R11" i="13"/>
  <c r="Q11" i="13"/>
  <c r="R15" i="13"/>
  <c r="Q15" i="13"/>
  <c r="M26" i="13"/>
  <c r="U7" i="13"/>
  <c r="S10" i="13" l="1"/>
  <c r="S13" i="13"/>
  <c r="S14" i="13"/>
  <c r="S11" i="13"/>
  <c r="S17" i="13"/>
  <c r="S7" i="13"/>
  <c r="S16" i="13"/>
  <c r="S8" i="13"/>
  <c r="S15" i="13"/>
  <c r="S9" i="13"/>
  <c r="S12" i="13"/>
  <c r="S6" i="1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<sst xmlns="http://schemas.openxmlformats.org/spreadsheetml/2006/main" count="4496" uniqueCount="1349">
  <si>
    <t>1W</t>
  </si>
  <si>
    <t>2W</t>
  </si>
  <si>
    <t>1M</t>
  </si>
  <si>
    <t>2M</t>
  </si>
  <si>
    <t>3M</t>
  </si>
  <si>
    <t>6M</t>
  </si>
  <si>
    <t>9M</t>
  </si>
  <si>
    <t>SGD</t>
  </si>
  <si>
    <t>INR</t>
  </si>
  <si>
    <t>KRW</t>
  </si>
  <si>
    <t>TWD</t>
  </si>
  <si>
    <t>CNH</t>
  </si>
  <si>
    <t>IDR</t>
  </si>
  <si>
    <t>PHP</t>
  </si>
  <si>
    <t>HKD</t>
  </si>
  <si>
    <t>THB</t>
  </si>
  <si>
    <t>USD</t>
  </si>
  <si>
    <t>EUR</t>
  </si>
  <si>
    <t>JPY</t>
  </si>
  <si>
    <t>GBP</t>
  </si>
  <si>
    <t>AUD</t>
  </si>
  <si>
    <t>NZD</t>
  </si>
  <si>
    <t>CHF</t>
  </si>
  <si>
    <t>CAD</t>
  </si>
  <si>
    <t>12M</t>
  </si>
  <si>
    <t>StdTenors</t>
  </si>
  <si>
    <t>CalendarDays</t>
  </si>
  <si>
    <t>SN</t>
  </si>
  <si>
    <t>4M</t>
  </si>
  <si>
    <t>5M</t>
  </si>
  <si>
    <t>7M</t>
  </si>
  <si>
    <t>8M</t>
  </si>
  <si>
    <t>10M</t>
  </si>
  <si>
    <t>11M</t>
  </si>
  <si>
    <t>1Y</t>
  </si>
  <si>
    <t>2Y</t>
  </si>
  <si>
    <t>3Y</t>
  </si>
  <si>
    <t>CurrPair</t>
  </si>
  <si>
    <t>MktDataTypes</t>
  </si>
  <si>
    <t>USDMYR</t>
  </si>
  <si>
    <t>USDINR</t>
  </si>
  <si>
    <t>USDTWD</t>
  </si>
  <si>
    <t>USDIDR</t>
  </si>
  <si>
    <t>USDPHP</t>
  </si>
  <si>
    <t>USDKRW</t>
  </si>
  <si>
    <t>USDCNY</t>
  </si>
  <si>
    <t>USDTHB</t>
  </si>
  <si>
    <t>USDCNH</t>
  </si>
  <si>
    <t>EURUSD</t>
  </si>
  <si>
    <t>AUDUSD</t>
  </si>
  <si>
    <t>NZDUSD</t>
  </si>
  <si>
    <t>GBPUSD</t>
  </si>
  <si>
    <t>USDJPY</t>
  </si>
  <si>
    <t>USDCAD</t>
  </si>
  <si>
    <t>USDCHF</t>
  </si>
  <si>
    <t>USDSGD</t>
  </si>
  <si>
    <t>USDHKD</t>
  </si>
  <si>
    <t>CurrPairs</t>
  </si>
  <si>
    <t>SpotDays</t>
  </si>
  <si>
    <t>Curr</t>
  </si>
  <si>
    <t>MYR</t>
  </si>
  <si>
    <t>CNY</t>
  </si>
  <si>
    <t>PointMove</t>
  </si>
  <si>
    <t>Tenors</t>
  </si>
  <si>
    <t>BBGTickers</t>
  </si>
  <si>
    <t>CNYMUSD Index</t>
  </si>
  <si>
    <t>JISDOR Index</t>
  </si>
  <si>
    <t>INRRATE Index</t>
  </si>
  <si>
    <t>KOBRUSD Index</t>
  </si>
  <si>
    <t>PHFRRATE Index</t>
  </si>
  <si>
    <t>TRY11 Index</t>
  </si>
  <si>
    <t>EURAUD</t>
  </si>
  <si>
    <t>GBPAUD</t>
  </si>
  <si>
    <t>AUDNZD</t>
  </si>
  <si>
    <t>AUDJPY</t>
  </si>
  <si>
    <t>AUDCAD</t>
  </si>
  <si>
    <t>USDSGD BGN Curncy</t>
  </si>
  <si>
    <t>MRN1W BGNT Curncy</t>
  </si>
  <si>
    <t>MRN1M BGNT Curncy</t>
  </si>
  <si>
    <t>MRN2M BGNT Curncy</t>
  </si>
  <si>
    <t>MRN3M BGNT Curncy</t>
  </si>
  <si>
    <t>MRN6M BGNT Curncy</t>
  </si>
  <si>
    <t>MRN9M BGNT Curncy</t>
  </si>
  <si>
    <t>MRN12M BGNT Curncy</t>
  </si>
  <si>
    <t>MRN2Y BGNT Curncy</t>
  </si>
  <si>
    <t>IRN1W BGNT Curncy</t>
  </si>
  <si>
    <t>IRN1M BGNT Curncy</t>
  </si>
  <si>
    <t>IRN2M BGNT Curncy</t>
  </si>
  <si>
    <t>IRN3M BGNT Curncy</t>
  </si>
  <si>
    <t>IRN6M BGNT Curncy</t>
  </si>
  <si>
    <t>IRN9M BGNT Curncy</t>
  </si>
  <si>
    <t>IRN12M BGNT Curncy</t>
  </si>
  <si>
    <t>IRN2Y BGNT Curncy</t>
  </si>
  <si>
    <t>NTN1W BGNT Curncy</t>
  </si>
  <si>
    <t>NTN1M BGNT Curncy</t>
  </si>
  <si>
    <t>NTN2M BGNT Curncy</t>
  </si>
  <si>
    <t>NTN3M BGNT Curncy</t>
  </si>
  <si>
    <t>NTN6M BGNT Curncy</t>
  </si>
  <si>
    <t>NTN9M BGNT Curncy</t>
  </si>
  <si>
    <t>NTN12M BGNT Curncy</t>
  </si>
  <si>
    <t>NTN2Y BGNT Curncy</t>
  </si>
  <si>
    <t>IHN1W BGNT Curncy</t>
  </si>
  <si>
    <t>IHN1M BGNT Curncy</t>
  </si>
  <si>
    <t>IHN2M BGNT Curncy</t>
  </si>
  <si>
    <t>IHN3M BGNT Curncy</t>
  </si>
  <si>
    <t>IHN6M BGNT Curncy</t>
  </si>
  <si>
    <t>IHN9M BGNT Curncy</t>
  </si>
  <si>
    <t>IHN12M BGNT Curncy</t>
  </si>
  <si>
    <t>IHN2Y BGNT Curncy</t>
  </si>
  <si>
    <t>PPN1W CMPN Curncy</t>
  </si>
  <si>
    <t>PPN1M CMPN Curncy</t>
  </si>
  <si>
    <t>PPN2M CMPN Curncy</t>
  </si>
  <si>
    <t>PPN3M CMPN Curncy</t>
  </si>
  <si>
    <t>PPN6M CMPN Curncy</t>
  </si>
  <si>
    <t>PPN9M CMPN Curncy</t>
  </si>
  <si>
    <t>PPN12M CMPN Curncy</t>
  </si>
  <si>
    <t>PPN2Y CMPN Curncy</t>
  </si>
  <si>
    <t>KWN1W BGNT Curncy</t>
  </si>
  <si>
    <t>KWN1M BGNT Curncy</t>
  </si>
  <si>
    <t>KWN2M BGNT Curncy</t>
  </si>
  <si>
    <t>KWN3M BGNT Curncy</t>
  </si>
  <si>
    <t>KWN6M BGNT Curncy</t>
  </si>
  <si>
    <t>KWN9M BGNT Curncy</t>
  </si>
  <si>
    <t>KWN12M BGNT Curncy</t>
  </si>
  <si>
    <t>KWN2Y BGNT Curncy</t>
  </si>
  <si>
    <t>CCN1W BGNT Curncy</t>
  </si>
  <si>
    <t>CCN1M BGNT Curncy</t>
  </si>
  <si>
    <t>CCN2M BGNT Curncy</t>
  </si>
  <si>
    <t>CCN3M BGNT Curncy</t>
  </si>
  <si>
    <t>CCN6M BGNT Curncy</t>
  </si>
  <si>
    <t>CCN9M BGNT Curncy</t>
  </si>
  <si>
    <t>CCN12M BGNT Curncy</t>
  </si>
  <si>
    <t>CCN2Y BGNT Curncy</t>
  </si>
  <si>
    <t>THB1W CMPN Curncy</t>
  </si>
  <si>
    <t>THB1M CMPN Curncy</t>
  </si>
  <si>
    <t>THB2M CMPN Curncy</t>
  </si>
  <si>
    <t>THB3M CMPN Curncy</t>
  </si>
  <si>
    <t>THB6M CMPN Curncy</t>
  </si>
  <si>
    <t>THB9M CMPN Curncy</t>
  </si>
  <si>
    <t>THB12M CMPN Curncy</t>
  </si>
  <si>
    <t>THB2Y CMPN Curncy</t>
  </si>
  <si>
    <t>CNH1W BGNT Curncy</t>
  </si>
  <si>
    <t>CNH1M BGNT Curncy</t>
  </si>
  <si>
    <t>CNH2M BGNT Curncy</t>
  </si>
  <si>
    <t>CNH3M BGNT Curncy</t>
  </si>
  <si>
    <t>CNH6M BGNT Curncy</t>
  </si>
  <si>
    <t>CNH9M BGNT Curncy</t>
  </si>
  <si>
    <t>CNH12M BGNT Curncy</t>
  </si>
  <si>
    <t>CNH2Y BGNT Curncy</t>
  </si>
  <si>
    <t>ON</t>
  </si>
  <si>
    <t>EURON BGNT Curncy</t>
  </si>
  <si>
    <t>EUR1W BGNT Curncy</t>
  </si>
  <si>
    <t>EUR1M BGNT Curncy</t>
  </si>
  <si>
    <t>EUR2M BGNT Curncy</t>
  </si>
  <si>
    <t>EUR3M BGNT Curncy</t>
  </si>
  <si>
    <t>EUR6M BGNT Curncy</t>
  </si>
  <si>
    <t>EUR9M BGNT Curncy</t>
  </si>
  <si>
    <t>EUR12M BGNT Curncy</t>
  </si>
  <si>
    <t>EUR2Y BGNT Curncy</t>
  </si>
  <si>
    <t>AUDON BGNT Curncy</t>
  </si>
  <si>
    <t>AUD1W BGNT Curncy</t>
  </si>
  <si>
    <t>AUD1M BGNT Curncy</t>
  </si>
  <si>
    <t>AUD2M BGNT Curncy</t>
  </si>
  <si>
    <t>AUD3M BGNT Curncy</t>
  </si>
  <si>
    <t>AUD6M BGNT Curncy</t>
  </si>
  <si>
    <t>AUD9M BGNT Curncy</t>
  </si>
  <si>
    <t>AUD12M BGNT Curncy</t>
  </si>
  <si>
    <t>AUD2Y BGNT Curncy</t>
  </si>
  <si>
    <t>NZDON BGNT Curncy</t>
  </si>
  <si>
    <t>NZD1W BGNT Curncy</t>
  </si>
  <si>
    <t>NZD1M BGNT Curncy</t>
  </si>
  <si>
    <t>NZD2M BGNT Curncy</t>
  </si>
  <si>
    <t>NZD3M BGNT Curncy</t>
  </si>
  <si>
    <t>NZD6M BGNT Curncy</t>
  </si>
  <si>
    <t>NZD9M BGNT Curncy</t>
  </si>
  <si>
    <t>NZD12M BGNT Curncy</t>
  </si>
  <si>
    <t>NZD2Y BGNT Curncy</t>
  </si>
  <si>
    <t>GBPON BGNT Curncy</t>
  </si>
  <si>
    <t>GBP1W BGNT Curncy</t>
  </si>
  <si>
    <t>GBP1M BGNT Curncy</t>
  </si>
  <si>
    <t>GBP2M BGNT Curncy</t>
  </si>
  <si>
    <t>GBP3M BGNT Curncy</t>
  </si>
  <si>
    <t>GBP6M BGNT Curncy</t>
  </si>
  <si>
    <t>GBP9M BGNT Curncy</t>
  </si>
  <si>
    <t>GBP12M BGNT Curncy</t>
  </si>
  <si>
    <t>GBP2Y BGNT Curncy</t>
  </si>
  <si>
    <t>JPYON BGNT Curncy</t>
  </si>
  <si>
    <t>JPY1W BGNT Curncy</t>
  </si>
  <si>
    <t>JPY1M BGNT Curncy</t>
  </si>
  <si>
    <t>JPY2M BGNT Curncy</t>
  </si>
  <si>
    <t>JPY3M BGNT Curncy</t>
  </si>
  <si>
    <t>JPY6M BGNT Curncy</t>
  </si>
  <si>
    <t>JPY9M BGNT Curncy</t>
  </si>
  <si>
    <t>JPY12M BGNT Curncy</t>
  </si>
  <si>
    <t>JPY2Y BGNT Curncy</t>
  </si>
  <si>
    <t>CADON BGNT Curncy</t>
  </si>
  <si>
    <t>CAD1W BGNT Curncy</t>
  </si>
  <si>
    <t>CAD1M BGNT Curncy</t>
  </si>
  <si>
    <t>CAD2M BGNT Curncy</t>
  </si>
  <si>
    <t>CAD3M BGNT Curncy</t>
  </si>
  <si>
    <t>CAD6M BGNT Curncy</t>
  </si>
  <si>
    <t>CAD9M BGNT Curncy</t>
  </si>
  <si>
    <t>CAD12M BGNT Curncy</t>
  </si>
  <si>
    <t>CAD2Y BGNT Curncy</t>
  </si>
  <si>
    <t>CHFON BGNT Curncy</t>
  </si>
  <si>
    <t>CHF1W BGNT Curncy</t>
  </si>
  <si>
    <t>CHF1M BGNT Curncy</t>
  </si>
  <si>
    <t>CHF2M BGNT Curncy</t>
  </si>
  <si>
    <t>CHF3M BGNT Curncy</t>
  </si>
  <si>
    <t>CHF6M BGNT Curncy</t>
  </si>
  <si>
    <t>CHF9M BGNT Curncy</t>
  </si>
  <si>
    <t>CHF12M BGNT Curncy</t>
  </si>
  <si>
    <t>CHF2Y BGNT Curncy</t>
  </si>
  <si>
    <t>SGDON BGNT Curncy</t>
  </si>
  <si>
    <t>SGD1W BGNT Curncy</t>
  </si>
  <si>
    <t>SGD1M BGNT Curncy</t>
  </si>
  <si>
    <t>SGD2M BGNT Curncy</t>
  </si>
  <si>
    <t>SGD3M BGNT Curncy</t>
  </si>
  <si>
    <t>SGD6M BGNT Curncy</t>
  </si>
  <si>
    <t>SGD9M BGNT Curncy</t>
  </si>
  <si>
    <t>SGD12M BGNT Curncy</t>
  </si>
  <si>
    <t>SGD2Y BGNT Curncy</t>
  </si>
  <si>
    <t>HKDON BGNT Curncy</t>
  </si>
  <si>
    <t>HKD1W BGNT Curncy</t>
  </si>
  <si>
    <t>HKD1M BGNT Curncy</t>
  </si>
  <si>
    <t>HKD2M BGNT Curncy</t>
  </si>
  <si>
    <t>HKD3M BGNT Curncy</t>
  </si>
  <si>
    <t>HKD6M BGNT Curncy</t>
  </si>
  <si>
    <t>HKD9M BGNT Curncy</t>
  </si>
  <si>
    <t>HKD12M BGNT Curncy</t>
  </si>
  <si>
    <t>HKD2Y BGNT Curncy</t>
  </si>
  <si>
    <t>FXVOLATM</t>
  </si>
  <si>
    <t>EURUSDVON BGNT Curncy</t>
  </si>
  <si>
    <t>EURUSDV1W BGNT Curncy</t>
  </si>
  <si>
    <t>EURUSDV1M BGNT Curncy</t>
  </si>
  <si>
    <t>EURUSDV2M BGNT Curncy</t>
  </si>
  <si>
    <t>EURUSDV3M BGNT Curncy</t>
  </si>
  <si>
    <t>EURUSDV6M BGNT Curncy</t>
  </si>
  <si>
    <t>EURUSDV9M BGNT Curncy</t>
  </si>
  <si>
    <t>EURUSDV1Y BGNT Curncy</t>
  </si>
  <si>
    <t>EURUSDV2Y BGNT Curncy</t>
  </si>
  <si>
    <t>FXVOL25RR</t>
  </si>
  <si>
    <t>EURUSD25RON BGNT Curncy</t>
  </si>
  <si>
    <t>EURUSD25R1W BGNT Curncy</t>
  </si>
  <si>
    <t>EURUSD25R1M BGNT Curncy</t>
  </si>
  <si>
    <t>EURUSD25R2M BGNT Curncy</t>
  </si>
  <si>
    <t>EURUSD25R3M BGNT Curncy</t>
  </si>
  <si>
    <t>EURUSD25R6M BGNT Curncy</t>
  </si>
  <si>
    <t>EURUSD25R9M BGNT Curncy</t>
  </si>
  <si>
    <t>EURUSD25R1Y BGNT Curncy</t>
  </si>
  <si>
    <t>EURUSD25R2Y BGNT Curncy</t>
  </si>
  <si>
    <t>FXVOL25BF</t>
  </si>
  <si>
    <t>EURUSD25BON BGNT Curncy</t>
  </si>
  <si>
    <t>EURUSD25B1W BGNT Curncy</t>
  </si>
  <si>
    <t>EURUSD25B1M BGNT Curncy</t>
  </si>
  <si>
    <t>EURUSD25B2M BGNT Curncy</t>
  </si>
  <si>
    <t>EURUSD25B3M BGNT Curncy</t>
  </si>
  <si>
    <t>EURUSD25B6M BGNT Curncy</t>
  </si>
  <si>
    <t>EURUSD25B9M BGNT Curncy</t>
  </si>
  <si>
    <t>EURUSD25B1Y BGNT Curncy</t>
  </si>
  <si>
    <t>EURUSD25B2Y BGNT Curncy</t>
  </si>
  <si>
    <t>FXVOL10RR</t>
  </si>
  <si>
    <t>EURUSD10RON BGNT Curncy</t>
  </si>
  <si>
    <t>EURUSD10R1W BGNT Curncy</t>
  </si>
  <si>
    <t>EURUSD10R1M BGNT Curncy</t>
  </si>
  <si>
    <t>EURUSD10R2M BGNT Curncy</t>
  </si>
  <si>
    <t>EURUSD10R3M BGNT Curncy</t>
  </si>
  <si>
    <t>EURUSD10R6M BGNT Curncy</t>
  </si>
  <si>
    <t>EURUSD10R9M BGNT Curncy</t>
  </si>
  <si>
    <t>EURUSD10R1Y BGNT Curncy</t>
  </si>
  <si>
    <t>EURUSD10R2Y BGNT Curncy</t>
  </si>
  <si>
    <t>FXVOL10BF</t>
  </si>
  <si>
    <t>EURUSD10BON BGNT Curncy</t>
  </si>
  <si>
    <t>EURUSD10B1W BGNT Curncy</t>
  </si>
  <si>
    <t>EURUSD10B1M BGNT Curncy</t>
  </si>
  <si>
    <t>EURUSD10B2M BGNT Curncy</t>
  </si>
  <si>
    <t>EURUSD10B3M BGNT Curncy</t>
  </si>
  <si>
    <t>EURUSD10B6M BGNT Curncy</t>
  </si>
  <si>
    <t>EURUSD10B9M BGNT Curncy</t>
  </si>
  <si>
    <t>EURUSD10B1Y BGNT Curncy</t>
  </si>
  <si>
    <t>EURUSD10B2Y BGNT Curncy</t>
  </si>
  <si>
    <t>GBPUSDVON BGNT Curncy</t>
  </si>
  <si>
    <t>GBPUSDV1W BGNT Curncy</t>
  </si>
  <si>
    <t>GBPUSDV1M BGNT Curncy</t>
  </si>
  <si>
    <t>GBPUSDV2M BGNT Curncy</t>
  </si>
  <si>
    <t>GBPUSDV3M BGNT Curncy</t>
  </si>
  <si>
    <t>GBPUSDV6M BGNT Curncy</t>
  </si>
  <si>
    <t>GBPUSDV9M BGNT Curncy</t>
  </si>
  <si>
    <t>GBPUSDV1Y BGNT Curncy</t>
  </si>
  <si>
    <t>GBPUSDV2Y BGNT Curncy</t>
  </si>
  <si>
    <t>GBPUSD25RON BGNT Curncy</t>
  </si>
  <si>
    <t>GBPUSD25R1W BGNT Curncy</t>
  </si>
  <si>
    <t>GBPUSD25R1M BGNT Curncy</t>
  </si>
  <si>
    <t>GBPUSD25R2M BGNT Curncy</t>
  </si>
  <si>
    <t>GBPUSD25R3M BGNT Curncy</t>
  </si>
  <si>
    <t>GBPUSD25R6M BGNT Curncy</t>
  </si>
  <si>
    <t>GBPUSD25R9M BGNT Curncy</t>
  </si>
  <si>
    <t>GBPUSD25R1Y BGNT Curncy</t>
  </si>
  <si>
    <t>GBPUSD25R2Y BGNT Curncy</t>
  </si>
  <si>
    <t>GBPUSD25BON BGNT Curncy</t>
  </si>
  <si>
    <t>GBPUSD25B1W BGNT Curncy</t>
  </si>
  <si>
    <t>GBPUSD25B1M BGNT Curncy</t>
  </si>
  <si>
    <t>GBPUSD25B2M BGNT Curncy</t>
  </si>
  <si>
    <t>GBPUSD25B3M BGNT Curncy</t>
  </si>
  <si>
    <t>GBPUSD25B6M BGNT Curncy</t>
  </si>
  <si>
    <t>GBPUSD25B9M BGNT Curncy</t>
  </si>
  <si>
    <t>GBPUSD25B1Y BGNT Curncy</t>
  </si>
  <si>
    <t>GBPUSD25B2Y BGNT Curncy</t>
  </si>
  <si>
    <t>GBPUSD10RON BGNT Curncy</t>
  </si>
  <si>
    <t>GBPUSD10R1W BGNT Curncy</t>
  </si>
  <si>
    <t>GBPUSD10R1M BGNT Curncy</t>
  </si>
  <si>
    <t>GBPUSD10R2M BGNT Curncy</t>
  </si>
  <si>
    <t>GBPUSD10R3M BGNT Curncy</t>
  </si>
  <si>
    <t>GBPUSD10R6M BGNT Curncy</t>
  </si>
  <si>
    <t>GBPUSD10R9M BGNT Curncy</t>
  </si>
  <si>
    <t>GBPUSD10R1Y BGNT Curncy</t>
  </si>
  <si>
    <t>GBPUSD10R2Y BGNT Curncy</t>
  </si>
  <si>
    <t>GBPUSD10BON BGNT Curncy</t>
  </si>
  <si>
    <t>GBPUSD10B1W BGNT Curncy</t>
  </si>
  <si>
    <t>GBPUSD10B1M BGNT Curncy</t>
  </si>
  <si>
    <t>GBPUSD10B2M BGNT Curncy</t>
  </si>
  <si>
    <t>GBPUSD10B3M BGNT Curncy</t>
  </si>
  <si>
    <t>GBPUSD10B6M BGNT Curncy</t>
  </si>
  <si>
    <t>GBPUSD10B9M BGNT Curncy</t>
  </si>
  <si>
    <t>GBPUSD10B1Y BGNT Curncy</t>
  </si>
  <si>
    <t>GBPUSD10B2Y BGNT Curncy</t>
  </si>
  <si>
    <t>USDJPYVON BGNT Curncy</t>
  </si>
  <si>
    <t>USDJPYV1W BGNT Curncy</t>
  </si>
  <si>
    <t>USDJPYV1M BGNT Curncy</t>
  </si>
  <si>
    <t>USDJPYV2M BGNT Curncy</t>
  </si>
  <si>
    <t>USDJPYV3M BGNT Curncy</t>
  </si>
  <si>
    <t>USDJPYV6M BGNT Curncy</t>
  </si>
  <si>
    <t>USDJPYV9M BGNT Curncy</t>
  </si>
  <si>
    <t>USDJPYV1Y BGNT Curncy</t>
  </si>
  <si>
    <t>USDJPYV2Y BGNT Curncy</t>
  </si>
  <si>
    <t>USDJPY25RON BGNT Curncy</t>
  </si>
  <si>
    <t>USDJPY25R1W BGNT Curncy</t>
  </si>
  <si>
    <t>USDJPY25R1M BGNT Curncy</t>
  </si>
  <si>
    <t>USDJPY25R2M BGNT Curncy</t>
  </si>
  <si>
    <t>USDJPY25R3M BGNT Curncy</t>
  </si>
  <si>
    <t>USDJPY25R6M BGNT Curncy</t>
  </si>
  <si>
    <t>USDJPY25R9M BGNT Curncy</t>
  </si>
  <si>
    <t>USDJPY25R1Y BGNT Curncy</t>
  </si>
  <si>
    <t>USDJPY25R2Y BGNT Curncy</t>
  </si>
  <si>
    <t>USDJPY25BON BGNT Curncy</t>
  </si>
  <si>
    <t>USDJPY25B1W BGNT Curncy</t>
  </si>
  <si>
    <t>USDJPY25B1M BGNT Curncy</t>
  </si>
  <si>
    <t>USDJPY25B2M BGNT Curncy</t>
  </si>
  <si>
    <t>USDJPY25B3M BGNT Curncy</t>
  </si>
  <si>
    <t>USDJPY25B6M BGNT Curncy</t>
  </si>
  <si>
    <t>USDJPY25B9M BGNT Curncy</t>
  </si>
  <si>
    <t>USDJPY25B1Y BGNT Curncy</t>
  </si>
  <si>
    <t>USDJPY25B2Y BGNT Curncy</t>
  </si>
  <si>
    <t>USDJPY10RON BGNT Curncy</t>
  </si>
  <si>
    <t>USDJPY10R1W BGNT Curncy</t>
  </si>
  <si>
    <t>USDJPY10R1M BGNT Curncy</t>
  </si>
  <si>
    <t>USDJPY10R2M BGNT Curncy</t>
  </si>
  <si>
    <t>USDJPY10R3M BGNT Curncy</t>
  </si>
  <si>
    <t>USDJPY10R6M BGNT Curncy</t>
  </si>
  <si>
    <t>USDJPY10R9M BGNT Curncy</t>
  </si>
  <si>
    <t>USDJPY10R1Y BGNT Curncy</t>
  </si>
  <si>
    <t>USDJPY10R2Y BGNT Curncy</t>
  </si>
  <si>
    <t>USDJPY10BON BGNT Curncy</t>
  </si>
  <si>
    <t>USDJPY10B1W BGNT Curncy</t>
  </si>
  <si>
    <t>USDJPY10B1M BGNT Curncy</t>
  </si>
  <si>
    <t>USDJPY10B2M BGNT Curncy</t>
  </si>
  <si>
    <t>USDJPY10B3M BGNT Curncy</t>
  </si>
  <si>
    <t>USDJPY10B6M BGNT Curncy</t>
  </si>
  <si>
    <t>USDJPY10B9M BGNT Curncy</t>
  </si>
  <si>
    <t>USDJPY10B1Y BGNT Curncy</t>
  </si>
  <si>
    <t>USDJPY10B2Y BGNT Curncy</t>
  </si>
  <si>
    <t>USDCHFVON BGNT Curncy</t>
  </si>
  <si>
    <t>USDCHFV1W BGNT Curncy</t>
  </si>
  <si>
    <t>USDCHFV1M BGNT Curncy</t>
  </si>
  <si>
    <t>USDCHFV2M BGNT Curncy</t>
  </si>
  <si>
    <t>USDCHFV3M BGNT Curncy</t>
  </si>
  <si>
    <t>USDCHFV6M BGNT Curncy</t>
  </si>
  <si>
    <t>USDCHFV9M BGNT Curncy</t>
  </si>
  <si>
    <t>USDCHFV1Y BGNT Curncy</t>
  </si>
  <si>
    <t>USDCHFV2Y BGNT Curncy</t>
  </si>
  <si>
    <t>USDCHF25RON BGNT Curncy</t>
  </si>
  <si>
    <t>USDCHF25R1W BGNT Curncy</t>
  </si>
  <si>
    <t>USDCHF25R1M BGNT Curncy</t>
  </si>
  <si>
    <t>USDCHF25R2M BGNT Curncy</t>
  </si>
  <si>
    <t>USDCHF25R3M BGNT Curncy</t>
  </si>
  <si>
    <t>USDCHF25R6M BGNT Curncy</t>
  </si>
  <si>
    <t>USDCHF25R9M BGNT Curncy</t>
  </si>
  <si>
    <t>USDCHF25R1Y BGNT Curncy</t>
  </si>
  <si>
    <t>USDCHF25R2Y BGNT Curncy</t>
  </si>
  <si>
    <t>USDCHF25BON BGNT Curncy</t>
  </si>
  <si>
    <t>USDCHF25B1W BGNT Curncy</t>
  </si>
  <si>
    <t>USDCHF25B1M BGNT Curncy</t>
  </si>
  <si>
    <t>USDCHF25B2M BGNT Curncy</t>
  </si>
  <si>
    <t>USDCHF25B3M BGNT Curncy</t>
  </si>
  <si>
    <t>USDCHF25B6M BGNT Curncy</t>
  </si>
  <si>
    <t>USDCHF25B9M BGNT Curncy</t>
  </si>
  <si>
    <t>USDCHF25B1Y BGNT Curncy</t>
  </si>
  <si>
    <t>USDCHF25B2Y BGNT Curncy</t>
  </si>
  <si>
    <t>USDCHF10RON BGNT Curncy</t>
  </si>
  <si>
    <t>USDCHF10R1W BGNT Curncy</t>
  </si>
  <si>
    <t>USDCHF10R1M BGNT Curncy</t>
  </si>
  <si>
    <t>USDCHF10R2M BGNT Curncy</t>
  </si>
  <si>
    <t>USDCHF10R3M BGNT Curncy</t>
  </si>
  <si>
    <t>USDCHF10R6M BGNT Curncy</t>
  </si>
  <si>
    <t>USDCHF10R9M BGNT Curncy</t>
  </si>
  <si>
    <t>USDCHF10R1Y BGNT Curncy</t>
  </si>
  <si>
    <t>USDCHF10R2Y BGNT Curncy</t>
  </si>
  <si>
    <t>USDCHF10BON BGNT Curncy</t>
  </si>
  <si>
    <t>USDCHF10B1W BGNT Curncy</t>
  </si>
  <si>
    <t>USDCHF10B1M BGNT Curncy</t>
  </si>
  <si>
    <t>USDCHF10B2M BGNT Curncy</t>
  </si>
  <si>
    <t>USDCHF10B3M BGNT Curncy</t>
  </si>
  <si>
    <t>USDCHF10B6M BGNT Curncy</t>
  </si>
  <si>
    <t>USDCHF10B9M BGNT Curncy</t>
  </si>
  <si>
    <t>USDCHF10B1Y BGNT Curncy</t>
  </si>
  <si>
    <t>USDCHF10B2Y BGNT Curncy</t>
  </si>
  <si>
    <t>AUDUSDVON BGNT Curncy</t>
  </si>
  <si>
    <t>AUDUSDV1W BGNT Curncy</t>
  </si>
  <si>
    <t>AUDUSDV1M BGNT Curncy</t>
  </si>
  <si>
    <t>AUDUSDV2M BGNT Curncy</t>
  </si>
  <si>
    <t>AUDUSDV3M BGNT Curncy</t>
  </si>
  <si>
    <t>AUDUSDV6M BGNT Curncy</t>
  </si>
  <si>
    <t>AUDUSDV9M BGNT Curncy</t>
  </si>
  <si>
    <t>AUDUSDV1Y BGNT Curncy</t>
  </si>
  <si>
    <t>AUDUSDV2Y BGNT Curncy</t>
  </si>
  <si>
    <t>AUDUSD25RON BGNT Curncy</t>
  </si>
  <si>
    <t>AUDUSD25R1W BGNT Curncy</t>
  </si>
  <si>
    <t>AUDUSD25R1M BGNT Curncy</t>
  </si>
  <si>
    <t>AUDUSD25R2M BGNT Curncy</t>
  </si>
  <si>
    <t>AUDUSD25R3M BGNT Curncy</t>
  </si>
  <si>
    <t>AUDUSD25R6M BGNT Curncy</t>
  </si>
  <si>
    <t>AUDUSD25R9M BGNT Curncy</t>
  </si>
  <si>
    <t>AUDUSD25R1Y BGNT Curncy</t>
  </si>
  <si>
    <t>AUDUSD25R2Y BGNT Curncy</t>
  </si>
  <si>
    <t>AUDUSD25BON BGNT Curncy</t>
  </si>
  <si>
    <t>AUDUSD25B1W BGNT Curncy</t>
  </si>
  <si>
    <t>AUDUSD25B1M BGNT Curncy</t>
  </si>
  <si>
    <t>AUDUSD25B2M BGNT Curncy</t>
  </si>
  <si>
    <t>AUDUSD25B3M BGNT Curncy</t>
  </si>
  <si>
    <t>AUDUSD25B6M BGNT Curncy</t>
  </si>
  <si>
    <t>AUDUSD25B9M BGNT Curncy</t>
  </si>
  <si>
    <t>AUDUSD25B1Y BGNT Curncy</t>
  </si>
  <si>
    <t>AUDUSD25B2Y BGNT Curncy</t>
  </si>
  <si>
    <t>AUDUSD10RON BGNT Curncy</t>
  </si>
  <si>
    <t>AUDUSD10R1W BGNT Curncy</t>
  </si>
  <si>
    <t>AUDUSD10R1M BGNT Curncy</t>
  </si>
  <si>
    <t>AUDUSD10R2M BGNT Curncy</t>
  </si>
  <si>
    <t>AUDUSD10R3M BGNT Curncy</t>
  </si>
  <si>
    <t>AUDUSD10R6M BGNT Curncy</t>
  </si>
  <si>
    <t>AUDUSD10R9M BGNT Curncy</t>
  </si>
  <si>
    <t>AUDUSD10R1Y BGNT Curncy</t>
  </si>
  <si>
    <t>AUDUSD10R2Y BGNT Curncy</t>
  </si>
  <si>
    <t>AUDUSD10BON BGNT Curncy</t>
  </si>
  <si>
    <t>AUDUSD10B1W BGNT Curncy</t>
  </si>
  <si>
    <t>AUDUSD10B1M BGNT Curncy</t>
  </si>
  <si>
    <t>AUDUSD10B2M BGNT Curncy</t>
  </si>
  <si>
    <t>AUDUSD10B3M BGNT Curncy</t>
  </si>
  <si>
    <t>AUDUSD10B6M BGNT Curncy</t>
  </si>
  <si>
    <t>AUDUSD10B9M BGNT Curncy</t>
  </si>
  <si>
    <t>AUDUSD10B1Y BGNT Curncy</t>
  </si>
  <si>
    <t>AUDUSD10B2Y BGNT Curncy</t>
  </si>
  <si>
    <t>NZDUSDVON BGNT Curncy</t>
  </si>
  <si>
    <t>NZDUSDV1W BGNT Curncy</t>
  </si>
  <si>
    <t>NZDUSDV1M BGNT Curncy</t>
  </si>
  <si>
    <t>NZDUSDV2M BGNT Curncy</t>
  </si>
  <si>
    <t>NZDUSDV3M BGNT Curncy</t>
  </si>
  <si>
    <t>NZDUSDV6M BGNT Curncy</t>
  </si>
  <si>
    <t>NZDUSDV9M BGNT Curncy</t>
  </si>
  <si>
    <t>NZDUSDV1Y BGNT Curncy</t>
  </si>
  <si>
    <t>NZDUSDV2Y BGNT Curncy</t>
  </si>
  <si>
    <t>NZDUSD25RON BGNT Curncy</t>
  </si>
  <si>
    <t>NZDUSD25R1W BGNT Curncy</t>
  </si>
  <si>
    <t>NZDUSD25R1M BGNT Curncy</t>
  </si>
  <si>
    <t>NZDUSD25R2M BGNT Curncy</t>
  </si>
  <si>
    <t>NZDUSD25R3M BGNT Curncy</t>
  </si>
  <si>
    <t>NZDUSD25R6M BGNT Curncy</t>
  </si>
  <si>
    <t>NZDUSD25R9M BGNT Curncy</t>
  </si>
  <si>
    <t>NZDUSD25R1Y BGNT Curncy</t>
  </si>
  <si>
    <t>NZDUSD25R2Y BGNT Curncy</t>
  </si>
  <si>
    <t>NZDUSD25BON BGNT Curncy</t>
  </si>
  <si>
    <t>NZDUSD25B1W BGNT Curncy</t>
  </si>
  <si>
    <t>NZDUSD25B1M BGNT Curncy</t>
  </si>
  <si>
    <t>NZDUSD25B2M BGNT Curncy</t>
  </si>
  <si>
    <t>NZDUSD25B3M BGNT Curncy</t>
  </si>
  <si>
    <t>NZDUSD25B6M BGNT Curncy</t>
  </si>
  <si>
    <t>NZDUSD25B9M BGNT Curncy</t>
  </si>
  <si>
    <t>NZDUSD25B1Y BGNT Curncy</t>
  </si>
  <si>
    <t>NZDUSD25B2Y BGNT Curncy</t>
  </si>
  <si>
    <t>NZDUSD10RON BGNT Curncy</t>
  </si>
  <si>
    <t>NZDUSD10R1W BGNT Curncy</t>
  </si>
  <si>
    <t>NZDUSD10R1M BGNT Curncy</t>
  </si>
  <si>
    <t>NZDUSD10R2M BGNT Curncy</t>
  </si>
  <si>
    <t>NZDUSD10R3M BGNT Curncy</t>
  </si>
  <si>
    <t>NZDUSD10R6M BGNT Curncy</t>
  </si>
  <si>
    <t>NZDUSD10R9M BGNT Curncy</t>
  </si>
  <si>
    <t>NZDUSD10R1Y BGNT Curncy</t>
  </si>
  <si>
    <t>NZDUSD10R2Y BGNT Curncy</t>
  </si>
  <si>
    <t>NZDUSD10BON BGNT Curncy</t>
  </si>
  <si>
    <t>NZDUSD10B1W BGNT Curncy</t>
  </si>
  <si>
    <t>NZDUSD10B1M BGNT Curncy</t>
  </si>
  <si>
    <t>NZDUSD10B2M BGNT Curncy</t>
  </si>
  <si>
    <t>NZDUSD10B3M BGNT Curncy</t>
  </si>
  <si>
    <t>NZDUSD10B6M BGNT Curncy</t>
  </si>
  <si>
    <t>NZDUSD10B9M BGNT Curncy</t>
  </si>
  <si>
    <t>NZDUSD10B1Y BGNT Curncy</t>
  </si>
  <si>
    <t>NZDUSD10B2Y BGNT Curncy</t>
  </si>
  <si>
    <t>USDCADVON BGNT Curncy</t>
  </si>
  <si>
    <t>USDCADV1W BGNT Curncy</t>
  </si>
  <si>
    <t>USDCADV1M BGNT Curncy</t>
  </si>
  <si>
    <t>USDCADV2M BGNT Curncy</t>
  </si>
  <si>
    <t>USDCADV3M BGNT Curncy</t>
  </si>
  <si>
    <t>USDCADV6M BGNT Curncy</t>
  </si>
  <si>
    <t>USDCADV9M BGNT Curncy</t>
  </si>
  <si>
    <t>USDCADV1Y BGNT Curncy</t>
  </si>
  <si>
    <t>USDCADV2Y BGNT Curncy</t>
  </si>
  <si>
    <t>USDCAD25RON BGNT Curncy</t>
  </si>
  <si>
    <t>USDCAD25R1W BGNT Curncy</t>
  </si>
  <si>
    <t>USDCAD25R1M BGNT Curncy</t>
  </si>
  <si>
    <t>USDCAD25R2M BGNT Curncy</t>
  </si>
  <si>
    <t>USDCAD25R3M BGNT Curncy</t>
  </si>
  <si>
    <t>USDCAD25R6M BGNT Curncy</t>
  </si>
  <si>
    <t>USDCAD25R9M BGNT Curncy</t>
  </si>
  <si>
    <t>USDCAD25R1Y BGNT Curncy</t>
  </si>
  <si>
    <t>USDCAD25R2Y BGNT Curncy</t>
  </si>
  <si>
    <t>USDCAD25BON BGNT Curncy</t>
  </si>
  <si>
    <t>USDCAD25B1W BGNT Curncy</t>
  </si>
  <si>
    <t>USDCAD25B1M BGNT Curncy</t>
  </si>
  <si>
    <t>USDCAD25B2M BGNT Curncy</t>
  </si>
  <si>
    <t>USDCAD25B3M BGNT Curncy</t>
  </si>
  <si>
    <t>USDCAD25B6M BGNT Curncy</t>
  </si>
  <si>
    <t>USDCAD25B9M BGNT Curncy</t>
  </si>
  <si>
    <t>USDCAD25B1Y BGNT Curncy</t>
  </si>
  <si>
    <t>USDCAD25B2Y BGNT Curncy</t>
  </si>
  <si>
    <t>USDCAD10RON BGNT Curncy</t>
  </si>
  <si>
    <t>USDCAD10R1W BGNT Curncy</t>
  </si>
  <si>
    <t>USDCAD10R1M BGNT Curncy</t>
  </si>
  <si>
    <t>USDCAD10R2M BGNT Curncy</t>
  </si>
  <si>
    <t>USDCAD10R3M BGNT Curncy</t>
  </si>
  <si>
    <t>USDCAD10R6M BGNT Curncy</t>
  </si>
  <si>
    <t>USDCAD10R9M BGNT Curncy</t>
  </si>
  <si>
    <t>USDCAD10R1Y BGNT Curncy</t>
  </si>
  <si>
    <t>USDCAD10R2Y BGNT Curncy</t>
  </si>
  <si>
    <t>USDCAD10BON BGNT Curncy</t>
  </si>
  <si>
    <t>USDCAD10B1W BGNT Curncy</t>
  </si>
  <si>
    <t>USDCAD10B1M BGNT Curncy</t>
  </si>
  <si>
    <t>USDCAD10B2M BGNT Curncy</t>
  </si>
  <si>
    <t>USDCAD10B3M BGNT Curncy</t>
  </si>
  <si>
    <t>USDCAD10B6M BGNT Curncy</t>
  </si>
  <si>
    <t>USDCAD10B9M BGNT Curncy</t>
  </si>
  <si>
    <t>USDCAD10B1Y BGNT Curncy</t>
  </si>
  <si>
    <t>USDCAD10B2Y BGNT Curncy</t>
  </si>
  <si>
    <t>USDCNYVON BGNT Curncy</t>
  </si>
  <si>
    <t>USDCNYV1W BGNT Curncy</t>
  </si>
  <si>
    <t>USDCNYV1M BGNT Curncy</t>
  </si>
  <si>
    <t>USDCNYV2M BGNT Curncy</t>
  </si>
  <si>
    <t>USDCNYV3M BGNT Curncy</t>
  </si>
  <si>
    <t>USDCNYV6M BGNT Curncy</t>
  </si>
  <si>
    <t>USDCNYV9M BGNT Curncy</t>
  </si>
  <si>
    <t>USDCNYV1Y BGNT Curncy</t>
  </si>
  <si>
    <t>USDCNYV2Y BGNT Curncy</t>
  </si>
  <si>
    <t>USDCNY25RON BGNT Curncy</t>
  </si>
  <si>
    <t>USDCNY25R1W BGNT Curncy</t>
  </si>
  <si>
    <t>USDCNY25R1M BGNT Curncy</t>
  </si>
  <si>
    <t>USDCNY25R2M BGNT Curncy</t>
  </si>
  <si>
    <t>USDCNY25R3M BGNT Curncy</t>
  </si>
  <si>
    <t>USDCNY25R6M BGNT Curncy</t>
  </si>
  <si>
    <t>USDCNY25R9M BGNT Curncy</t>
  </si>
  <si>
    <t>USDCNY25R1Y BGNT Curncy</t>
  </si>
  <si>
    <t>USDCNY25R2Y BGNT Curncy</t>
  </si>
  <si>
    <t>USDCNY25BON BGNT Curncy</t>
  </si>
  <si>
    <t>USDCNY25B1W BGNT Curncy</t>
  </si>
  <si>
    <t>USDCNY25B1M BGNT Curncy</t>
  </si>
  <si>
    <t>USDCNY25B2M BGNT Curncy</t>
  </si>
  <si>
    <t>USDCNY25B3M BGNT Curncy</t>
  </si>
  <si>
    <t>USDCNY25B6M BGNT Curncy</t>
  </si>
  <si>
    <t>USDCNY25B9M BGNT Curncy</t>
  </si>
  <si>
    <t>USDCNY25B1Y BGNT Curncy</t>
  </si>
  <si>
    <t>USDCNY25B2Y BGNT Curncy</t>
  </si>
  <si>
    <t>USDCNY10RON BGNT Curncy</t>
  </si>
  <si>
    <t>USDCNY10R1W BGNT Curncy</t>
  </si>
  <si>
    <t>USDCNY10R1M BGNT Curncy</t>
  </si>
  <si>
    <t>USDCNY10R2M BGNT Curncy</t>
  </si>
  <si>
    <t>USDCNY10R3M BGNT Curncy</t>
  </si>
  <si>
    <t>USDCNY10R6M BGNT Curncy</t>
  </si>
  <si>
    <t>USDCNY10R9M BGNT Curncy</t>
  </si>
  <si>
    <t>USDCNY10R1Y BGNT Curncy</t>
  </si>
  <si>
    <t>USDCNY10R2Y BGNT Curncy</t>
  </si>
  <si>
    <t>USDCNY10BON BGNT Curncy</t>
  </si>
  <si>
    <t>USDCNY10B1W BGNT Curncy</t>
  </si>
  <si>
    <t>USDCNY10B1M BGNT Curncy</t>
  </si>
  <si>
    <t>USDCNY10B2M BGNT Curncy</t>
  </si>
  <si>
    <t>USDCNY10B3M BGNT Curncy</t>
  </si>
  <si>
    <t>USDCNY10B6M BGNT Curncy</t>
  </si>
  <si>
    <t>USDCNY10B9M BGNT Curncy</t>
  </si>
  <si>
    <t>USDCNY10B1Y BGNT Curncy</t>
  </si>
  <si>
    <t>USDCNY10B2Y BGNT Curncy</t>
  </si>
  <si>
    <t>USDCNHVON BGNT Curncy</t>
  </si>
  <si>
    <t>USDCNHV1W BGNT Curncy</t>
  </si>
  <si>
    <t>USDCNHV1M BGNT Curncy</t>
  </si>
  <si>
    <t>USDCNHV2M BGNT Curncy</t>
  </si>
  <si>
    <t>USDCNHV3M BGNT Curncy</t>
  </si>
  <si>
    <t>USDCNHV6M BGNT Curncy</t>
  </si>
  <si>
    <t>USDCNHV9M BGNT Curncy</t>
  </si>
  <si>
    <t>USDCNHV1Y BGNT Curncy</t>
  </si>
  <si>
    <t>USDCNHV2Y BGNT Curncy</t>
  </si>
  <si>
    <t>USDCNH25RON BGNT Curncy</t>
  </si>
  <si>
    <t>USDCNH25R1W BGNT Curncy</t>
  </si>
  <si>
    <t>USDCNH25R1M BGNT Curncy</t>
  </si>
  <si>
    <t>USDCNH25R2M BGNT Curncy</t>
  </si>
  <si>
    <t>USDCNH25R3M BGNT Curncy</t>
  </si>
  <si>
    <t>USDCNH25R6M BGNT Curncy</t>
  </si>
  <si>
    <t>USDCNH25R9M BGNT Curncy</t>
  </si>
  <si>
    <t>USDCNH25R1Y BGNT Curncy</t>
  </si>
  <si>
    <t>USDCNH25R2Y BGNT Curncy</t>
  </si>
  <si>
    <t>USDCNH25BON BGNT Curncy</t>
  </si>
  <si>
    <t>USDCNH25B1W BGNT Curncy</t>
  </si>
  <si>
    <t>USDCNH25B1M BGNT Curncy</t>
  </si>
  <si>
    <t>USDCNH25B2M BGNT Curncy</t>
  </si>
  <si>
    <t>USDCNH25B3M BGNT Curncy</t>
  </si>
  <si>
    <t>USDCNH25B6M BGNT Curncy</t>
  </si>
  <si>
    <t>USDCNH25B9M BGNT Curncy</t>
  </si>
  <si>
    <t>USDCNH25B1Y BGNT Curncy</t>
  </si>
  <si>
    <t>USDCNH25B2Y BGNT Curncy</t>
  </si>
  <si>
    <t>USDCNH10RON BGNT Curncy</t>
  </si>
  <si>
    <t>USDCNH10R1W BGNT Curncy</t>
  </si>
  <si>
    <t>USDCNH10R1M BGNT Curncy</t>
  </si>
  <si>
    <t>USDCNH10R2M BGNT Curncy</t>
  </si>
  <si>
    <t>USDCNH10R3M BGNT Curncy</t>
  </si>
  <si>
    <t>USDCNH10R6M BGNT Curncy</t>
  </si>
  <si>
    <t>USDCNH10R9M BGNT Curncy</t>
  </si>
  <si>
    <t>USDCNH10R1Y BGNT Curncy</t>
  </si>
  <si>
    <t>USDCNH10R2Y BGNT Curncy</t>
  </si>
  <si>
    <t>USDCNH10BON BGNT Curncy</t>
  </si>
  <si>
    <t>USDCNH10B1W BGNT Curncy</t>
  </si>
  <si>
    <t>USDCNH10B1M BGNT Curncy</t>
  </si>
  <si>
    <t>USDCNH10B2M BGNT Curncy</t>
  </si>
  <si>
    <t>USDCNH10B3M BGNT Curncy</t>
  </si>
  <si>
    <t>USDCNH10B6M BGNT Curncy</t>
  </si>
  <si>
    <t>USDCNH10B9M BGNT Curncy</t>
  </si>
  <si>
    <t>USDCNH10B1Y BGNT Curncy</t>
  </si>
  <si>
    <t>USDCNH10B2Y BGNT Curncy</t>
  </si>
  <si>
    <t>USDINRVON BGNT Curncy</t>
  </si>
  <si>
    <t>USDINRV1W BGNT Curncy</t>
  </si>
  <si>
    <t>USDINRV1M BGNT Curncy</t>
  </si>
  <si>
    <t>USDINRV2M BGNT Curncy</t>
  </si>
  <si>
    <t>USDINRV3M BGNT Curncy</t>
  </si>
  <si>
    <t>USDINRV6M BGNT Curncy</t>
  </si>
  <si>
    <t>USDINRV9M BGNT Curncy</t>
  </si>
  <si>
    <t>USDINRV1Y BGNT Curncy</t>
  </si>
  <si>
    <t>USDINRV2Y BGNT Curncy</t>
  </si>
  <si>
    <t>USDINR25RON BGNT Curncy</t>
  </si>
  <si>
    <t>USDINR25R1W BGNT Curncy</t>
  </si>
  <si>
    <t>USDINR25R1M BGNT Curncy</t>
  </si>
  <si>
    <t>USDINR25R2M BGNT Curncy</t>
  </si>
  <si>
    <t>USDINR25R3M BGNT Curncy</t>
  </si>
  <si>
    <t>USDINR25R6M BGNT Curncy</t>
  </si>
  <si>
    <t>USDINR25R9M BGNT Curncy</t>
  </si>
  <si>
    <t>USDINR25R1Y BGNT Curncy</t>
  </si>
  <si>
    <t>USDINR25R2Y BGNT Curncy</t>
  </si>
  <si>
    <t>USDINR25BON BGNT Curncy</t>
  </si>
  <si>
    <t>USDINR25B1W BGNT Curncy</t>
  </si>
  <si>
    <t>USDINR25B1M BGNT Curncy</t>
  </si>
  <si>
    <t>USDINR25B2M BGNT Curncy</t>
  </si>
  <si>
    <t>USDINR25B3M BGNT Curncy</t>
  </si>
  <si>
    <t>USDINR25B6M BGNT Curncy</t>
  </si>
  <si>
    <t>USDINR25B9M BGNT Curncy</t>
  </si>
  <si>
    <t>USDINR25B1Y BGNT Curncy</t>
  </si>
  <si>
    <t>USDINR25B2Y BGNT Curncy</t>
  </si>
  <si>
    <t>USDINR10RON BGNT Curncy</t>
  </si>
  <si>
    <t>USDINR10R1W BGNT Curncy</t>
  </si>
  <si>
    <t>USDINR10R1M BGNT Curncy</t>
  </si>
  <si>
    <t>USDINR10R2M BGNT Curncy</t>
  </si>
  <si>
    <t>USDINR10R3M BGNT Curncy</t>
  </si>
  <si>
    <t>USDINR10R6M BGNT Curncy</t>
  </si>
  <si>
    <t>USDINR10R9M BGNT Curncy</t>
  </si>
  <si>
    <t>USDINR10R1Y BGNT Curncy</t>
  </si>
  <si>
    <t>USDINR10R2Y BGNT Curncy</t>
  </si>
  <si>
    <t>USDINR10BON BGNT Curncy</t>
  </si>
  <si>
    <t>USDINR10B1W BGNT Curncy</t>
  </si>
  <si>
    <t>USDINR10B1M BGNT Curncy</t>
  </si>
  <si>
    <t>USDINR10B2M BGNT Curncy</t>
  </si>
  <si>
    <t>USDINR10B3M BGNT Curncy</t>
  </si>
  <si>
    <t>USDINR10B6M BGNT Curncy</t>
  </si>
  <si>
    <t>USDINR10B9M BGNT Curncy</t>
  </si>
  <si>
    <t>USDINR10B1Y BGNT Curncy</t>
  </si>
  <si>
    <t>USDINR10B2Y BGNT Curncy</t>
  </si>
  <si>
    <t>USDKRWVON BGNT Curncy</t>
  </si>
  <si>
    <t>USDKRWV1W BGNT Curncy</t>
  </si>
  <si>
    <t>USDKRWV1M BGNT Curncy</t>
  </si>
  <si>
    <t>USDKRWV2M BGNT Curncy</t>
  </si>
  <si>
    <t>USDKRWV3M BGNT Curncy</t>
  </si>
  <si>
    <t>USDKRWV6M BGNT Curncy</t>
  </si>
  <si>
    <t>USDKRWV9M BGNT Curncy</t>
  </si>
  <si>
    <t>USDKRWV1Y BGNT Curncy</t>
  </si>
  <si>
    <t>USDKRWV2Y BGNT Curncy</t>
  </si>
  <si>
    <t>USDKRW25RON BGNT Curncy</t>
  </si>
  <si>
    <t>USDKRW25R1W BGNT Curncy</t>
  </si>
  <si>
    <t>USDKRW25R1M BGNT Curncy</t>
  </si>
  <si>
    <t>USDKRW25R2M BGNT Curncy</t>
  </si>
  <si>
    <t>USDKRW25R3M BGNT Curncy</t>
  </si>
  <si>
    <t>USDKRW25R6M BGNT Curncy</t>
  </si>
  <si>
    <t>USDKRW25R9M BGNT Curncy</t>
  </si>
  <si>
    <t>USDKRW25R1Y BGNT Curncy</t>
  </si>
  <si>
    <t>USDKRW25R2Y BGNT Curncy</t>
  </si>
  <si>
    <t>USDKRW25BON BGNT Curncy</t>
  </si>
  <si>
    <t>USDKRW25B1W BGNT Curncy</t>
  </si>
  <si>
    <t>USDKRW25B1M BGNT Curncy</t>
  </si>
  <si>
    <t>USDKRW25B2M BGNT Curncy</t>
  </si>
  <si>
    <t>USDKRW25B3M BGNT Curncy</t>
  </si>
  <si>
    <t>USDKRW25B6M BGNT Curncy</t>
  </si>
  <si>
    <t>USDKRW25B9M BGNT Curncy</t>
  </si>
  <si>
    <t>USDKRW25B1Y BGNT Curncy</t>
  </si>
  <si>
    <t>USDKRW25B2Y BGNT Curncy</t>
  </si>
  <si>
    <t>USDKRW10RON BGNT Curncy</t>
  </si>
  <si>
    <t>USDKRW10R1W BGNT Curncy</t>
  </si>
  <si>
    <t>USDKRW10R1M BGNT Curncy</t>
  </si>
  <si>
    <t>USDKRW10R2M BGNT Curncy</t>
  </si>
  <si>
    <t>USDKRW10R3M BGNT Curncy</t>
  </si>
  <si>
    <t>USDKRW10R6M BGNT Curncy</t>
  </si>
  <si>
    <t>USDKRW10R9M BGNT Curncy</t>
  </si>
  <si>
    <t>USDKRW10R1Y BGNT Curncy</t>
  </si>
  <si>
    <t>USDKRW10R2Y BGNT Curncy</t>
  </si>
  <si>
    <t>USDKRW10BON BGNT Curncy</t>
  </si>
  <si>
    <t>USDKRW10B1W BGNT Curncy</t>
  </si>
  <si>
    <t>USDKRW10B1M BGNT Curncy</t>
  </si>
  <si>
    <t>USDKRW10B2M BGNT Curncy</t>
  </si>
  <si>
    <t>USDKRW10B3M BGNT Curncy</t>
  </si>
  <si>
    <t>USDKRW10B6M BGNT Curncy</t>
  </si>
  <si>
    <t>USDKRW10B9M BGNT Curncy</t>
  </si>
  <si>
    <t>USDKRW10B1Y BGNT Curncy</t>
  </si>
  <si>
    <t>USDKRW10B2Y BGNT Curncy</t>
  </si>
  <si>
    <t>USDMYRVON BGNT Curncy</t>
  </si>
  <si>
    <t>USDMYRV1W BGNT Curncy</t>
  </si>
  <si>
    <t>USDMYRV1M BGNT Curncy</t>
  </si>
  <si>
    <t>USDMYRV2M BGNT Curncy</t>
  </si>
  <si>
    <t>USDMYRV3M BGNT Curncy</t>
  </si>
  <si>
    <t>USDMYRV6M BGNT Curncy</t>
  </si>
  <si>
    <t>USDMYRV9M BGNT Curncy</t>
  </si>
  <si>
    <t>USDMYRV1Y BGNT Curncy</t>
  </si>
  <si>
    <t>USDMYRV2Y BGNT Curncy</t>
  </si>
  <si>
    <t>USDMYR25RON BGNT Curncy</t>
  </si>
  <si>
    <t>USDMYR25R1W BGNT Curncy</t>
  </si>
  <si>
    <t>USDMYR25R1M BGNT Curncy</t>
  </si>
  <si>
    <t>USDMYR25R2M BGNT Curncy</t>
  </si>
  <si>
    <t>USDMYR25R3M BGNT Curncy</t>
  </si>
  <si>
    <t>USDMYR25R6M BGNT Curncy</t>
  </si>
  <si>
    <t>USDMYR25R9M BGNT Curncy</t>
  </si>
  <si>
    <t>USDMYR25R1Y BGNT Curncy</t>
  </si>
  <si>
    <t>USDMYR25R2Y BGNT Curncy</t>
  </si>
  <si>
    <t>USDMYR25BON BGNT Curncy</t>
  </si>
  <si>
    <t>USDMYR25B1W BGNT Curncy</t>
  </si>
  <si>
    <t>USDMYR25B1M BGNT Curncy</t>
  </si>
  <si>
    <t>USDMYR25B2M BGNT Curncy</t>
  </si>
  <si>
    <t>USDMYR25B3M BGNT Curncy</t>
  </si>
  <si>
    <t>USDMYR25B6M BGNT Curncy</t>
  </si>
  <si>
    <t>USDMYR25B9M BGNT Curncy</t>
  </si>
  <si>
    <t>USDMYR25B1Y BGNT Curncy</t>
  </si>
  <si>
    <t>USDMYR25B2Y BGNT Curncy</t>
  </si>
  <si>
    <t>USDMYR10RON BGNT Curncy</t>
  </si>
  <si>
    <t>USDMYR10R1W BGNT Curncy</t>
  </si>
  <si>
    <t>USDMYR10R1M BGNT Curncy</t>
  </si>
  <si>
    <t>USDMYR10R2M BGNT Curncy</t>
  </si>
  <si>
    <t>USDMYR10R3M BGNT Curncy</t>
  </si>
  <si>
    <t>USDMYR10R6M BGNT Curncy</t>
  </si>
  <si>
    <t>USDMYR10R9M BGNT Curncy</t>
  </si>
  <si>
    <t>USDMYR10R1Y BGNT Curncy</t>
  </si>
  <si>
    <t>USDMYR10R2Y BGNT Curncy</t>
  </si>
  <si>
    <t>USDMYR10BON BGNT Curncy</t>
  </si>
  <si>
    <t>USDMYR10B1W BGNT Curncy</t>
  </si>
  <si>
    <t>USDMYR10B1M BGNT Curncy</t>
  </si>
  <si>
    <t>USDMYR10B2M BGNT Curncy</t>
  </si>
  <si>
    <t>USDMYR10B3M BGNT Curncy</t>
  </si>
  <si>
    <t>USDMYR10B6M BGNT Curncy</t>
  </si>
  <si>
    <t>USDMYR10B9M BGNT Curncy</t>
  </si>
  <si>
    <t>USDMYR10B1Y BGNT Curncy</t>
  </si>
  <si>
    <t>USDMYR10B2Y BGNT Curncy</t>
  </si>
  <si>
    <t>USDIDRVON BGNT Curncy</t>
  </si>
  <si>
    <t>USDIDRV1W BGNT Curncy</t>
  </si>
  <si>
    <t>USDIDRV1M BGNT Curncy</t>
  </si>
  <si>
    <t>USDIDRV2M BGNT Curncy</t>
  </si>
  <si>
    <t>USDIDRV3M BGNT Curncy</t>
  </si>
  <si>
    <t>USDIDRV6M BGNT Curncy</t>
  </si>
  <si>
    <t>USDIDRV9M BGNT Curncy</t>
  </si>
  <si>
    <t>USDIDRV1Y BGNT Curncy</t>
  </si>
  <si>
    <t>USDIDRV2Y BGNT Curncy</t>
  </si>
  <si>
    <t>USDIDR25RON BGNT Curncy</t>
  </si>
  <si>
    <t>USDIDR25R1W BGNT Curncy</t>
  </si>
  <si>
    <t>USDIDR25R1M BGNT Curncy</t>
  </si>
  <si>
    <t>USDIDR25R2M BGNT Curncy</t>
  </si>
  <si>
    <t>USDIDR25R3M BGNT Curncy</t>
  </si>
  <si>
    <t>USDIDR25R6M BGNT Curncy</t>
  </si>
  <si>
    <t>USDIDR25R9M BGNT Curncy</t>
  </si>
  <si>
    <t>USDIDR25R1Y BGNT Curncy</t>
  </si>
  <si>
    <t>USDIDR25R2Y BGNT Curncy</t>
  </si>
  <si>
    <t>USDIDR25BON BGNT Curncy</t>
  </si>
  <si>
    <t>USDIDR25B1W BGNT Curncy</t>
  </si>
  <si>
    <t>USDIDR25B1M BGNT Curncy</t>
  </si>
  <si>
    <t>USDIDR25B2M BGNT Curncy</t>
  </si>
  <si>
    <t>USDIDR25B3M BGNT Curncy</t>
  </si>
  <si>
    <t>USDIDR25B6M BGNT Curncy</t>
  </si>
  <si>
    <t>USDIDR25B9M BGNT Curncy</t>
  </si>
  <si>
    <t>USDIDR25B1Y BGNT Curncy</t>
  </si>
  <si>
    <t>USDIDR25B2Y BGNT Curncy</t>
  </si>
  <si>
    <t>USDIDR10RON BGNT Curncy</t>
  </si>
  <si>
    <t>USDIDR10R1W BGNT Curncy</t>
  </si>
  <si>
    <t>USDIDR10R1M BGNT Curncy</t>
  </si>
  <si>
    <t>USDIDR10R2M BGNT Curncy</t>
  </si>
  <si>
    <t>USDIDR10R3M BGNT Curncy</t>
  </si>
  <si>
    <t>USDIDR10R6M BGNT Curncy</t>
  </si>
  <si>
    <t>USDIDR10R9M BGNT Curncy</t>
  </si>
  <si>
    <t>USDIDR10R1Y BGNT Curncy</t>
  </si>
  <si>
    <t>USDIDR10R2Y BGNT Curncy</t>
  </si>
  <si>
    <t>USDIDR10BON BGNT Curncy</t>
  </si>
  <si>
    <t>USDIDR10B1W BGNT Curncy</t>
  </si>
  <si>
    <t>USDIDR10B1M BGNT Curncy</t>
  </si>
  <si>
    <t>USDIDR10B2M BGNT Curncy</t>
  </si>
  <si>
    <t>USDIDR10B3M BGNT Curncy</t>
  </si>
  <si>
    <t>USDIDR10B6M BGNT Curncy</t>
  </si>
  <si>
    <t>USDIDR10B9M BGNT Curncy</t>
  </si>
  <si>
    <t>USDIDR10B1Y BGNT Curncy</t>
  </si>
  <si>
    <t>USDIDR10B2Y BGNT Curncy</t>
  </si>
  <si>
    <t>USDTWDVON BGNT Curncy</t>
  </si>
  <si>
    <t>USDTWDV1W BGNT Curncy</t>
  </si>
  <si>
    <t>USDTWDV1M BGNT Curncy</t>
  </si>
  <si>
    <t>USDTWDV2M BGNT Curncy</t>
  </si>
  <si>
    <t>USDTWDV3M BGNT Curncy</t>
  </si>
  <si>
    <t>USDTWDV6M BGNT Curncy</t>
  </si>
  <si>
    <t>USDTWDV9M BGNT Curncy</t>
  </si>
  <si>
    <t>USDTWDV1Y BGNT Curncy</t>
  </si>
  <si>
    <t>USDTWDV2Y BGNT Curncy</t>
  </si>
  <si>
    <t>USDTWD25RON BGNT Curncy</t>
  </si>
  <si>
    <t>USDTWD25R1W BGNT Curncy</t>
  </si>
  <si>
    <t>USDTWD25R1M BGNT Curncy</t>
  </si>
  <si>
    <t>USDTWD25R2M BGNT Curncy</t>
  </si>
  <si>
    <t>USDTWD25R3M BGNT Curncy</t>
  </si>
  <si>
    <t>USDTWD25R6M BGNT Curncy</t>
  </si>
  <si>
    <t>USDTWD25R9M BGNT Curncy</t>
  </si>
  <si>
    <t>USDTWD25R1Y BGNT Curncy</t>
  </si>
  <si>
    <t>USDTWD25R2Y BGNT Curncy</t>
  </si>
  <si>
    <t>USDTWD25BON BGNT Curncy</t>
  </si>
  <si>
    <t>USDTWD25B1W BGNT Curncy</t>
  </si>
  <si>
    <t>USDTWD25B1M BGNT Curncy</t>
  </si>
  <si>
    <t>USDTWD25B2M BGNT Curncy</t>
  </si>
  <si>
    <t>USDTWD25B3M BGNT Curncy</t>
  </si>
  <si>
    <t>USDTWD25B6M BGNT Curncy</t>
  </si>
  <si>
    <t>USDTWD25B9M BGNT Curncy</t>
  </si>
  <si>
    <t>USDTWD25B1Y BGNT Curncy</t>
  </si>
  <si>
    <t>USDTWD25B2Y BGNT Curncy</t>
  </si>
  <si>
    <t>USDTWD10RON BGNT Curncy</t>
  </si>
  <si>
    <t>USDTWD10R1W BGNT Curncy</t>
  </si>
  <si>
    <t>USDTWD10R1M BGNT Curncy</t>
  </si>
  <si>
    <t>USDTWD10R2M BGNT Curncy</t>
  </si>
  <si>
    <t>USDTWD10R3M BGNT Curncy</t>
  </si>
  <si>
    <t>USDTWD10R6M BGNT Curncy</t>
  </si>
  <si>
    <t>USDTWD10R9M BGNT Curncy</t>
  </si>
  <si>
    <t>USDTWD10R1Y BGNT Curncy</t>
  </si>
  <si>
    <t>USDTWD10R2Y BGNT Curncy</t>
  </si>
  <si>
    <t>USDTWD10BON BGNT Curncy</t>
  </si>
  <si>
    <t>USDTWD10B1W BGNT Curncy</t>
  </si>
  <si>
    <t>USDTWD10B1M BGNT Curncy</t>
  </si>
  <si>
    <t>USDTWD10B2M BGNT Curncy</t>
  </si>
  <si>
    <t>USDTWD10B3M BGNT Curncy</t>
  </si>
  <si>
    <t>USDTWD10B6M BGNT Curncy</t>
  </si>
  <si>
    <t>USDTWD10B9M BGNT Curncy</t>
  </si>
  <si>
    <t>USDTWD10B1Y BGNT Curncy</t>
  </si>
  <si>
    <t>USDTWD10B2Y BGNT Curncy</t>
  </si>
  <si>
    <t>USDPHPVON BGNT Curncy</t>
  </si>
  <si>
    <t>USDPHPV1W BGNT Curncy</t>
  </si>
  <si>
    <t>USDPHPV1M BGNT Curncy</t>
  </si>
  <si>
    <t>USDPHPV2M BGNT Curncy</t>
  </si>
  <si>
    <t>USDPHPV3M BGNT Curncy</t>
  </si>
  <si>
    <t>USDPHPV6M BGNT Curncy</t>
  </si>
  <si>
    <t>USDPHPV9M BGNT Curncy</t>
  </si>
  <si>
    <t>USDPHPV1Y BGNT Curncy</t>
  </si>
  <si>
    <t>USDPHPV2Y BGNT Curncy</t>
  </si>
  <si>
    <t>USDPHP25RON BGNT Curncy</t>
  </si>
  <si>
    <t>USDPHP25R1W BGNT Curncy</t>
  </si>
  <si>
    <t>USDPHP25R1M BGNT Curncy</t>
  </si>
  <si>
    <t>USDPHP25R2M BGNT Curncy</t>
  </si>
  <si>
    <t>USDPHP25R3M BGNT Curncy</t>
  </si>
  <si>
    <t>USDPHP25R6M BGNT Curncy</t>
  </si>
  <si>
    <t>USDPHP25R9M BGNT Curncy</t>
  </si>
  <si>
    <t>USDPHP25R1Y BGNT Curncy</t>
  </si>
  <si>
    <t>USDPHP25R2Y BGNT Curncy</t>
  </si>
  <si>
    <t>USDPHP25BON BGNT Curncy</t>
  </si>
  <si>
    <t>USDPHP25B1W BGNT Curncy</t>
  </si>
  <si>
    <t>USDPHP25B1M BGNT Curncy</t>
  </si>
  <si>
    <t>USDPHP25B2M BGNT Curncy</t>
  </si>
  <si>
    <t>USDPHP25B3M BGNT Curncy</t>
  </si>
  <si>
    <t>USDPHP25B6M BGNT Curncy</t>
  </si>
  <si>
    <t>USDPHP25B9M BGNT Curncy</t>
  </si>
  <si>
    <t>USDPHP25B1Y BGNT Curncy</t>
  </si>
  <si>
    <t>USDPHP25B2Y BGNT Curncy</t>
  </si>
  <si>
    <t>USDPHP10RON BGNT Curncy</t>
  </si>
  <si>
    <t>USDPHP10R1W BGNT Curncy</t>
  </si>
  <si>
    <t>USDPHP10R1M BGNT Curncy</t>
  </si>
  <si>
    <t>USDPHP10R2M BGNT Curncy</t>
  </si>
  <si>
    <t>USDPHP10R3M BGNT Curncy</t>
  </si>
  <si>
    <t>USDPHP10R6M BGNT Curncy</t>
  </si>
  <si>
    <t>USDPHP10R9M BGNT Curncy</t>
  </si>
  <si>
    <t>USDPHP10R1Y BGNT Curncy</t>
  </si>
  <si>
    <t>USDPHP10R2Y BGNT Curncy</t>
  </si>
  <si>
    <t>USDPHP10BON BGNT Curncy</t>
  </si>
  <si>
    <t>USDPHP10B1W BGNT Curncy</t>
  </si>
  <si>
    <t>USDPHP10B1M BGNT Curncy</t>
  </si>
  <si>
    <t>USDPHP10B2M BGNT Curncy</t>
  </si>
  <si>
    <t>USDPHP10B3M BGNT Curncy</t>
  </si>
  <si>
    <t>USDPHP10B6M BGNT Curncy</t>
  </si>
  <si>
    <t>USDPHP10B9M BGNT Curncy</t>
  </si>
  <si>
    <t>USDPHP10B1Y BGNT Curncy</t>
  </si>
  <si>
    <t>USDPHP10B2Y BGNT Curncy</t>
  </si>
  <si>
    <t>USDSGDVON BGNT Curncy</t>
  </si>
  <si>
    <t>USDSGDV1W BGNT Curncy</t>
  </si>
  <si>
    <t>USDSGDV1M BGNT Curncy</t>
  </si>
  <si>
    <t>USDSGDV2M BGNT Curncy</t>
  </si>
  <si>
    <t>USDSGDV3M BGNT Curncy</t>
  </si>
  <si>
    <t>USDSGDV6M BGNT Curncy</t>
  </si>
  <si>
    <t>USDSGDV9M BGNT Curncy</t>
  </si>
  <si>
    <t>USDSGDV1Y BGNT Curncy</t>
  </si>
  <si>
    <t>USDSGDV2Y BGNT Curncy</t>
  </si>
  <si>
    <t>USDSGD25RON BGNT Curncy</t>
  </si>
  <si>
    <t>USDSGD25R1W BGNT Curncy</t>
  </si>
  <si>
    <t>USDSGD25R1M BGNT Curncy</t>
  </si>
  <si>
    <t>USDSGD25R2M BGNT Curncy</t>
  </si>
  <si>
    <t>USDSGD25R3M BGNT Curncy</t>
  </si>
  <si>
    <t>USDSGD25R6M BGNT Curncy</t>
  </si>
  <si>
    <t>USDSGD25R9M BGNT Curncy</t>
  </si>
  <si>
    <t>USDSGD25R1Y BGNT Curncy</t>
  </si>
  <si>
    <t>USDSGD25R2Y BGNT Curncy</t>
  </si>
  <si>
    <t>USDSGD25BON BGNT Curncy</t>
  </si>
  <si>
    <t>USDSGD25B1W BGNT Curncy</t>
  </si>
  <si>
    <t>USDSGD25B1M BGNT Curncy</t>
  </si>
  <si>
    <t>USDSGD25B2M BGNT Curncy</t>
  </si>
  <si>
    <t>USDSGD25B3M BGNT Curncy</t>
  </si>
  <si>
    <t>USDSGD25B6M BGNT Curncy</t>
  </si>
  <si>
    <t>USDSGD25B9M BGNT Curncy</t>
  </si>
  <si>
    <t>USDSGD25B1Y BGNT Curncy</t>
  </si>
  <si>
    <t>USDSGD25B2Y BGNT Curncy</t>
  </si>
  <si>
    <t>USDSGD10RON BGNT Curncy</t>
  </si>
  <si>
    <t>USDSGD10R1W BGNT Curncy</t>
  </si>
  <si>
    <t>USDSGD10R1M BGNT Curncy</t>
  </si>
  <si>
    <t>USDSGD10R2M BGNT Curncy</t>
  </si>
  <si>
    <t>USDSGD10R3M BGNT Curncy</t>
  </si>
  <si>
    <t>USDSGD10R6M BGNT Curncy</t>
  </si>
  <si>
    <t>USDSGD10R9M BGNT Curncy</t>
  </si>
  <si>
    <t>USDSGD10R1Y BGNT Curncy</t>
  </si>
  <si>
    <t>USDSGD10R2Y BGNT Curncy</t>
  </si>
  <si>
    <t>USDSGD10BON BGNT Curncy</t>
  </si>
  <si>
    <t>USDSGD10B1W BGNT Curncy</t>
  </si>
  <si>
    <t>USDSGD10B1M BGNT Curncy</t>
  </si>
  <si>
    <t>USDSGD10B2M BGNT Curncy</t>
  </si>
  <si>
    <t>USDSGD10B3M BGNT Curncy</t>
  </si>
  <si>
    <t>USDSGD10B6M BGNT Curncy</t>
  </si>
  <si>
    <t>USDSGD10B9M BGNT Curncy</t>
  </si>
  <si>
    <t>USDSGD10B1Y BGNT Curncy</t>
  </si>
  <si>
    <t>USDSGD10B2Y BGNT Curncy</t>
  </si>
  <si>
    <t>USDHKDVON BGNT Curncy</t>
  </si>
  <si>
    <t>USDHKDV1W BGNT Curncy</t>
  </si>
  <si>
    <t>USDHKDV1M BGNT Curncy</t>
  </si>
  <si>
    <t>USDHKDV2M BGNT Curncy</t>
  </si>
  <si>
    <t>USDHKDV3M BGNT Curncy</t>
  </si>
  <si>
    <t>USDHKDV6M BGNT Curncy</t>
  </si>
  <si>
    <t>USDHKDV9M BGNT Curncy</t>
  </si>
  <si>
    <t>USDHKDV1Y BGNT Curncy</t>
  </si>
  <si>
    <t>USDHKDV2Y BGNT Curncy</t>
  </si>
  <si>
    <t>USDHKD25RON BGNT Curncy</t>
  </si>
  <si>
    <t>USDHKD25R1W BGNT Curncy</t>
  </si>
  <si>
    <t>USDHKD25R1M BGNT Curncy</t>
  </si>
  <si>
    <t>USDHKD25R2M BGNT Curncy</t>
  </si>
  <si>
    <t>USDHKD25R3M BGNT Curncy</t>
  </si>
  <si>
    <t>USDHKD25R6M BGNT Curncy</t>
  </si>
  <si>
    <t>USDHKD25R9M BGNT Curncy</t>
  </si>
  <si>
    <t>USDHKD25R1Y BGNT Curncy</t>
  </si>
  <si>
    <t>USDHKD25R2Y BGNT Curncy</t>
  </si>
  <si>
    <t>USDHKD25BON BGNT Curncy</t>
  </si>
  <si>
    <t>USDHKD25B1W BGNT Curncy</t>
  </si>
  <si>
    <t>USDHKD25B1M BGNT Curncy</t>
  </si>
  <si>
    <t>USDHKD25B2M BGNT Curncy</t>
  </si>
  <si>
    <t>USDHKD25B3M BGNT Curncy</t>
  </si>
  <si>
    <t>USDHKD25B6M BGNT Curncy</t>
  </si>
  <si>
    <t>USDHKD25B9M BGNT Curncy</t>
  </si>
  <si>
    <t>USDHKD25B1Y BGNT Curncy</t>
  </si>
  <si>
    <t>USDHKD25B2Y BGNT Curncy</t>
  </si>
  <si>
    <t>USDHKD10RON BGNT Curncy</t>
  </si>
  <si>
    <t>USDHKD10R1W BGNT Curncy</t>
  </si>
  <si>
    <t>USDHKD10R1M BGNT Curncy</t>
  </si>
  <si>
    <t>USDHKD10R2M BGNT Curncy</t>
  </si>
  <si>
    <t>USDHKD10R3M BGNT Curncy</t>
  </si>
  <si>
    <t>USDHKD10R6M BGNT Curncy</t>
  </si>
  <si>
    <t>USDHKD10R9M BGNT Curncy</t>
  </si>
  <si>
    <t>USDHKD10R1Y BGNT Curncy</t>
  </si>
  <si>
    <t>USDHKD10R2Y BGNT Curncy</t>
  </si>
  <si>
    <t>USDHKD10BON BGNT Curncy</t>
  </si>
  <si>
    <t>USDHKD10B1W BGNT Curncy</t>
  </si>
  <si>
    <t>USDHKD10B1M BGNT Curncy</t>
  </si>
  <si>
    <t>USDHKD10B2M BGNT Curncy</t>
  </si>
  <si>
    <t>USDHKD10B3M BGNT Curncy</t>
  </si>
  <si>
    <t>USDHKD10B6M BGNT Curncy</t>
  </si>
  <si>
    <t>USDHKD10B9M BGNT Curncy</t>
  </si>
  <si>
    <t>USDHKD10B1Y BGNT Curncy</t>
  </si>
  <si>
    <t>USDHKD10B2Y BGNT Curncy</t>
  </si>
  <si>
    <t>USDTHBVON BGNT Curncy</t>
  </si>
  <si>
    <t>USDTHBV1W BGNT Curncy</t>
  </si>
  <si>
    <t>USDTHBV1M BGNT Curncy</t>
  </si>
  <si>
    <t>USDTHBV2M BGNT Curncy</t>
  </si>
  <si>
    <t>USDTHBV3M BGNT Curncy</t>
  </si>
  <si>
    <t>USDTHBV6M BGNT Curncy</t>
  </si>
  <si>
    <t>USDTHBV9M BGNT Curncy</t>
  </si>
  <si>
    <t>USDTHBV1Y BGNT Curncy</t>
  </si>
  <si>
    <t>USDTHBV2Y BGNT Curncy</t>
  </si>
  <si>
    <t>USDTHB25RON BGNT Curncy</t>
  </si>
  <si>
    <t>USDTHB25R1W BGNT Curncy</t>
  </si>
  <si>
    <t>USDTHB25R1M BGNT Curncy</t>
  </si>
  <si>
    <t>USDTHB25R2M BGNT Curncy</t>
  </si>
  <si>
    <t>USDTHB25R3M BGNT Curncy</t>
  </si>
  <si>
    <t>USDTHB25R6M BGNT Curncy</t>
  </si>
  <si>
    <t>USDTHB25R9M BGNT Curncy</t>
  </si>
  <si>
    <t>USDTHB25R1Y BGNT Curncy</t>
  </si>
  <si>
    <t>USDTHB25R2Y BGNT Curncy</t>
  </si>
  <si>
    <t>USDTHB25BON BGNT Curncy</t>
  </si>
  <si>
    <t>USDTHB25B1W BGNT Curncy</t>
  </si>
  <si>
    <t>USDTHB25B1M BGNT Curncy</t>
  </si>
  <si>
    <t>USDTHB25B2M BGNT Curncy</t>
  </si>
  <si>
    <t>USDTHB25B3M BGNT Curncy</t>
  </si>
  <si>
    <t>USDTHB25B6M BGNT Curncy</t>
  </si>
  <si>
    <t>USDTHB25B9M BGNT Curncy</t>
  </si>
  <si>
    <t>USDTHB25B1Y BGNT Curncy</t>
  </si>
  <si>
    <t>USDTHB25B2Y BGNT Curncy</t>
  </si>
  <si>
    <t>USDTHB10RON BGNT Curncy</t>
  </si>
  <si>
    <t>USDTHB10R1W BGNT Curncy</t>
  </si>
  <si>
    <t>USDTHB10R1M BGNT Curncy</t>
  </si>
  <si>
    <t>USDTHB10R2M BGNT Curncy</t>
  </si>
  <si>
    <t>USDTHB10R3M BGNT Curncy</t>
  </si>
  <si>
    <t>USDTHB10R6M BGNT Curncy</t>
  </si>
  <si>
    <t>USDTHB10R9M BGNT Curncy</t>
  </si>
  <si>
    <t>USDTHB10R1Y BGNT Curncy</t>
  </si>
  <si>
    <t>USDTHB10R2Y BGNT Curncy</t>
  </si>
  <si>
    <t>USDTHB10BON BGNT Curncy</t>
  </si>
  <si>
    <t>USDTHB10B1W BGNT Curncy</t>
  </si>
  <si>
    <t>USDTHB10B1M BGNT Curncy</t>
  </si>
  <si>
    <t>USDTHB10B2M BGNT Curncy</t>
  </si>
  <si>
    <t>USDTHB10B3M BGNT Curncy</t>
  </si>
  <si>
    <t>USDTHB10B6M BGNT Curncy</t>
  </si>
  <si>
    <t>USDTHB10B9M BGNT Curncy</t>
  </si>
  <si>
    <t>USDTHB10B1Y BGNT Curncy</t>
  </si>
  <si>
    <t>USDTHB10B2Y BGNT Curncy</t>
  </si>
  <si>
    <t>MRN+1W BGNT Curncy</t>
  </si>
  <si>
    <t>MRN+1M BGNT Curncy</t>
  </si>
  <si>
    <t>MRN+2M BGNT Curncy</t>
  </si>
  <si>
    <t>MRN+3M BGNT Curncy</t>
  </si>
  <si>
    <t>MRN+6M BGNT Curncy</t>
  </si>
  <si>
    <t>MRN+9M BGNT Curncy</t>
  </si>
  <si>
    <t>MRN+12M BGNT Curncy</t>
  </si>
  <si>
    <t>MRN+2Y BGNT Curncy</t>
  </si>
  <si>
    <t>IRN+1W BGNT Curncy</t>
  </si>
  <si>
    <t>IRN+1M BGNT Curncy</t>
  </si>
  <si>
    <t>IRN+2M BGNT Curncy</t>
  </si>
  <si>
    <t>IRN+3M BGNT Curncy</t>
  </si>
  <si>
    <t>IRN+6M BGNT Curncy</t>
  </si>
  <si>
    <t>IRN+9M BGNT Curncy</t>
  </si>
  <si>
    <t>IRN+12M BGNT Curncy</t>
  </si>
  <si>
    <t>IRN+2Y BGNT Curncy</t>
  </si>
  <si>
    <t>NTN+1W BGNT Curncy</t>
  </si>
  <si>
    <t>NTN+1M BGNT Curncy</t>
  </si>
  <si>
    <t>NTN+2M BGNT Curncy</t>
  </si>
  <si>
    <t>NTN+3M BGNT Curncy</t>
  </si>
  <si>
    <t>NTN+6M BGNT Curncy</t>
  </si>
  <si>
    <t>NTN+9M BGNT Curncy</t>
  </si>
  <si>
    <t>NTN+12M BGNT Curncy</t>
  </si>
  <si>
    <t>NTN+2Y BGNT Curncy</t>
  </si>
  <si>
    <t>IHN+1W BGNT Curncy</t>
  </si>
  <si>
    <t>IHN+1M BGNT Curncy</t>
  </si>
  <si>
    <t>IHN+2M BGNT Curncy</t>
  </si>
  <si>
    <t>IHN+3M BGNT Curncy</t>
  </si>
  <si>
    <t>IHN+6M BGNT Curncy</t>
  </si>
  <si>
    <t>IHN+9M BGNT Curncy</t>
  </si>
  <si>
    <t>IHN+12M BGNT Curncy</t>
  </si>
  <si>
    <t>IHN+2Y BGNT Curncy</t>
  </si>
  <si>
    <t>PPN+1W CMPN Curncy</t>
  </si>
  <si>
    <t>PPN+1M CMPN Curncy</t>
  </si>
  <si>
    <t>PPN+2M CMPN Curncy</t>
  </si>
  <si>
    <t>PPN+3M CMPN Curncy</t>
  </si>
  <si>
    <t>PPN+6M CMPN Curncy</t>
  </si>
  <si>
    <t>PPN+9M CMPN Curncy</t>
  </si>
  <si>
    <t>PPN+12M CMPN Curncy</t>
  </si>
  <si>
    <t>PPN+2Y CMPN Curncy</t>
  </si>
  <si>
    <t>KWN+1W BGNT Curncy</t>
  </si>
  <si>
    <t>KWN+1M BGNT Curncy</t>
  </si>
  <si>
    <t>KWN+2M BGNT Curncy</t>
  </si>
  <si>
    <t>KWN+3M BGNT Curncy</t>
  </si>
  <si>
    <t>KWN+6M BGNT Curncy</t>
  </si>
  <si>
    <t>KWN+9M BGNT Curncy</t>
  </si>
  <si>
    <t>KWN+12M BGNT Curncy</t>
  </si>
  <si>
    <t>KWN+2Y BGNT Curncy</t>
  </si>
  <si>
    <t>CCN+1W BGNT Curncy</t>
  </si>
  <si>
    <t>CCN+1M BGNT Curncy</t>
  </si>
  <si>
    <t>CCN+2M BGNT Curncy</t>
  </si>
  <si>
    <t>CCN+3M BGNT Curncy</t>
  </si>
  <si>
    <t>CCN+6M BGNT Curncy</t>
  </si>
  <si>
    <t>CCN+9M BGNT Curncy</t>
  </si>
  <si>
    <t>CCN+12M BGNT Curncy</t>
  </si>
  <si>
    <t>CCN+2Y BGNT Curncy</t>
  </si>
  <si>
    <t>THB+1W CMPN Curncy</t>
  </si>
  <si>
    <t>THB+1M CMPN Curncy</t>
  </si>
  <si>
    <t>THB+2M CMPN Curncy</t>
  </si>
  <si>
    <t>THB+3M CMPN Curncy</t>
  </si>
  <si>
    <t>THB+6M CMPN Curncy</t>
  </si>
  <si>
    <t>THB+9M CMPN Curncy</t>
  </si>
  <si>
    <t>THB+12M CMPN Curncy</t>
  </si>
  <si>
    <t>THB+2Y CMPN Curncy</t>
  </si>
  <si>
    <t>CNH+1W BGNT Curncy</t>
  </si>
  <si>
    <t>CNH+1M BGNT Curncy</t>
  </si>
  <si>
    <t>CNH+2M BGNT Curncy</t>
  </si>
  <si>
    <t>CNH+3M BGNT Curncy</t>
  </si>
  <si>
    <t>CNH+6M BGNT Curncy</t>
  </si>
  <si>
    <t>CNH+9M BGNT Curncy</t>
  </si>
  <si>
    <t>CNH+12M BGNT Curncy</t>
  </si>
  <si>
    <t>CNH+2Y BGNT Curncy</t>
  </si>
  <si>
    <t>SGD+1W BGNT Curncy</t>
  </si>
  <si>
    <t>SGD+1M BGNT Curncy</t>
  </si>
  <si>
    <t>SGD+2M BGNT Curncy</t>
  </si>
  <si>
    <t>SGD+3M BGNT Curncy</t>
  </si>
  <si>
    <t>SGD+6M BGNT Curncy</t>
  </si>
  <si>
    <t>SGD+9M BGNT Curncy</t>
  </si>
  <si>
    <t>SGD+12M BGNT Curncy</t>
  </si>
  <si>
    <t>SGD+2Y BGNT Curncy</t>
  </si>
  <si>
    <t>HKD+1W BGNT Curncy</t>
  </si>
  <si>
    <t>HKD+1M BGNT Curncy</t>
  </si>
  <si>
    <t>HKD+2M BGNT Curncy</t>
  </si>
  <si>
    <t>HKD+3M BGNT Curncy</t>
  </si>
  <si>
    <t>HKD+6M BGNT Curncy</t>
  </si>
  <si>
    <t>HKD+9M BGNT Curncy</t>
  </si>
  <si>
    <t>HKD+12M BGNT Curncy</t>
  </si>
  <si>
    <t>HKD+2Y BGNT Curncy</t>
  </si>
  <si>
    <t>EUR+1W BGNT Curncy</t>
  </si>
  <si>
    <t>EUR+1M BGNT Curncy</t>
  </si>
  <si>
    <t>EUR+2M BGNT Curncy</t>
  </si>
  <si>
    <t>EUR+3M BGNT Curncy</t>
  </si>
  <si>
    <t>EUR+6M BGNT Curncy</t>
  </si>
  <si>
    <t>EUR+9M BGNT Curncy</t>
  </si>
  <si>
    <t>EUR+12M BGNT Curncy</t>
  </si>
  <si>
    <t>EUR+2Y BGNT Curncy</t>
  </si>
  <si>
    <t>AUD+1W BGNT Curncy</t>
  </si>
  <si>
    <t>AUD+1M BGNT Curncy</t>
  </si>
  <si>
    <t>AUD+2M BGNT Curncy</t>
  </si>
  <si>
    <t>AUD+3M BGNT Curncy</t>
  </si>
  <si>
    <t>AUD+6M BGNT Curncy</t>
  </si>
  <si>
    <t>AUD+9M BGNT Curncy</t>
  </si>
  <si>
    <t>AUD+12M BGNT Curncy</t>
  </si>
  <si>
    <t>AUD+2Y BGNT Curncy</t>
  </si>
  <si>
    <t>NZD+1W BGNT Curncy</t>
  </si>
  <si>
    <t>NZD+1M BGNT Curncy</t>
  </si>
  <si>
    <t>NZD+2M BGNT Curncy</t>
  </si>
  <si>
    <t>NZD+3M BGNT Curncy</t>
  </si>
  <si>
    <t>NZD+6M BGNT Curncy</t>
  </si>
  <si>
    <t>NZD+9M BGNT Curncy</t>
  </si>
  <si>
    <t>NZD+12M BGNT Curncy</t>
  </si>
  <si>
    <t>NZD+2Y BGNT Curncy</t>
  </si>
  <si>
    <t>GBP+1W BGNT Curncy</t>
  </si>
  <si>
    <t>GBP+1M BGNT Curncy</t>
  </si>
  <si>
    <t>GBP+2M BGNT Curncy</t>
  </si>
  <si>
    <t>GBP+3M BGNT Curncy</t>
  </si>
  <si>
    <t>GBP+6M BGNT Curncy</t>
  </si>
  <si>
    <t>GBP+9M BGNT Curncy</t>
  </si>
  <si>
    <t>GBP+12M BGNT Curncy</t>
  </si>
  <si>
    <t>GBP+2Y BGNT Curncy</t>
  </si>
  <si>
    <t>CAD+1W BGNT Curncy</t>
  </si>
  <si>
    <t>CAD+1M BGNT Curncy</t>
  </si>
  <si>
    <t>CAD+2M BGNT Curncy</t>
  </si>
  <si>
    <t>CAD+3M BGNT Curncy</t>
  </si>
  <si>
    <t>CAD+6M BGNT Curncy</t>
  </si>
  <si>
    <t>CAD+9M BGNT Curncy</t>
  </si>
  <si>
    <t>CAD+12M BGNT Curncy</t>
  </si>
  <si>
    <t>CAD+2Y BGNT Curncy</t>
  </si>
  <si>
    <t>JPY+1W BGNT Curncy</t>
  </si>
  <si>
    <t>JPY+1M BGNT Curncy</t>
  </si>
  <si>
    <t>JPY+2M BGNT Curncy</t>
  </si>
  <si>
    <t>JPY+3M BGNT Curncy</t>
  </si>
  <si>
    <t>JPY+6M BGNT Curncy</t>
  </si>
  <si>
    <t>JPY+9M BGNT Curncy</t>
  </si>
  <si>
    <t>JPY+12M BGNT Curncy</t>
  </si>
  <si>
    <t>JPY+2Y BGNT Curncy</t>
  </si>
  <si>
    <t>CHF+1W BGNT Curncy</t>
  </si>
  <si>
    <t>CHF+1M BGNT Curncy</t>
  </si>
  <si>
    <t>CHF+2M BGNT Curncy</t>
  </si>
  <si>
    <t>CHF+3M BGNT Curncy</t>
  </si>
  <si>
    <t>CHF+6M BGNT Curncy</t>
  </si>
  <si>
    <t>CHF+9M BGNT Curncy</t>
  </si>
  <si>
    <t>CHF+12M BGNT Curncy</t>
  </si>
  <si>
    <t>CHF+2Y BGNT Curncy</t>
  </si>
  <si>
    <t>IRNI1W</t>
  </si>
  <si>
    <t>KWNI1W</t>
  </si>
  <si>
    <t>TRNI1W</t>
  </si>
  <si>
    <t>IHNI1W</t>
  </si>
  <si>
    <t>PPNI1W</t>
  </si>
  <si>
    <t>TBOI1W</t>
  </si>
  <si>
    <t>CGI1W</t>
  </si>
  <si>
    <t>SDI1W</t>
  </si>
  <si>
    <t>HDI1W</t>
  </si>
  <si>
    <t>EUI1W</t>
  </si>
  <si>
    <t>JYI1W</t>
  </si>
  <si>
    <t>BPI1W</t>
  </si>
  <si>
    <t>ADI1W</t>
  </si>
  <si>
    <t>NDI1W</t>
  </si>
  <si>
    <t>SFI1W</t>
  </si>
  <si>
    <t>CDI1W</t>
  </si>
  <si>
    <t>USOSFR1Z</t>
  </si>
  <si>
    <t>IRNI2W</t>
  </si>
  <si>
    <t>KWNI2W</t>
  </si>
  <si>
    <t>TRNI2W</t>
  </si>
  <si>
    <t>IHNI2W</t>
  </si>
  <si>
    <t>PPNI2W</t>
  </si>
  <si>
    <t>TBOI2W</t>
  </si>
  <si>
    <t>CGI2W</t>
  </si>
  <si>
    <t>SDI2W</t>
  </si>
  <si>
    <t>HDI2W</t>
  </si>
  <si>
    <t>EUI2W</t>
  </si>
  <si>
    <t>JYI2W</t>
  </si>
  <si>
    <t>BPI2W</t>
  </si>
  <si>
    <t>ADI2W</t>
  </si>
  <si>
    <t>NDI2W</t>
  </si>
  <si>
    <t>SFI2W</t>
  </si>
  <si>
    <t>CDI2W</t>
  </si>
  <si>
    <t>USOSFR2Z</t>
  </si>
  <si>
    <t>IRNI1M</t>
  </si>
  <si>
    <t>KWNI1M</t>
  </si>
  <si>
    <t>TRNI1M</t>
  </si>
  <si>
    <t>IHNI1M</t>
  </si>
  <si>
    <t>PPNI1M</t>
  </si>
  <si>
    <t>TBOI1M</t>
  </si>
  <si>
    <t>CGI1M</t>
  </si>
  <si>
    <t>SDI1M</t>
  </si>
  <si>
    <t>HDI1M</t>
  </si>
  <si>
    <t>EUI1M</t>
  </si>
  <si>
    <t>JYI1M</t>
  </si>
  <si>
    <t>BPI1M</t>
  </si>
  <si>
    <t>ADI1M</t>
  </si>
  <si>
    <t>NDI1M</t>
  </si>
  <si>
    <t>SFI1M</t>
  </si>
  <si>
    <t>CDI1M</t>
  </si>
  <si>
    <t>USOSFRA</t>
  </si>
  <si>
    <t>IRNI2M</t>
  </si>
  <si>
    <t>KWNI2M</t>
  </si>
  <si>
    <t>TRNI2M</t>
  </si>
  <si>
    <t>IHNI2M</t>
  </si>
  <si>
    <t>PPNI2M</t>
  </si>
  <si>
    <t>TBOI2M</t>
  </si>
  <si>
    <t>CGI2M</t>
  </si>
  <si>
    <t>SDI2M</t>
  </si>
  <si>
    <t>HDI2M</t>
  </si>
  <si>
    <t>EUI2M</t>
  </si>
  <si>
    <t>JYI2M</t>
  </si>
  <si>
    <t>BPI2M</t>
  </si>
  <si>
    <t>ADI2M</t>
  </si>
  <si>
    <t>NDI2M</t>
  </si>
  <si>
    <t>SFI2M</t>
  </si>
  <si>
    <t>CDI2M</t>
  </si>
  <si>
    <t>USOSFRB</t>
  </si>
  <si>
    <t>IRNI3M</t>
  </si>
  <si>
    <t>KWNI3M</t>
  </si>
  <si>
    <t>TRNI3M</t>
  </si>
  <si>
    <t>IHNI3M</t>
  </si>
  <si>
    <t>PPNI3M</t>
  </si>
  <si>
    <t>TBOI3M</t>
  </si>
  <si>
    <t>CGI3M</t>
  </si>
  <si>
    <t>SDI3M</t>
  </si>
  <si>
    <t>HDI3M</t>
  </si>
  <si>
    <t>EUI3M</t>
  </si>
  <si>
    <t>JYI3M</t>
  </si>
  <si>
    <t>BPI3M</t>
  </si>
  <si>
    <t>ADI3M</t>
  </si>
  <si>
    <t>NDI3M</t>
  </si>
  <si>
    <t>SFI3M</t>
  </si>
  <si>
    <t>CDI3M</t>
  </si>
  <si>
    <t>USOSFRC</t>
  </si>
  <si>
    <t>IRNI6M</t>
  </si>
  <si>
    <t>KWNI6M</t>
  </si>
  <si>
    <t>TRNI6M</t>
  </si>
  <si>
    <t>IHNI6M</t>
  </si>
  <si>
    <t>PPNI6M</t>
  </si>
  <si>
    <t>TBOI6M</t>
  </si>
  <si>
    <t>CGI6M</t>
  </si>
  <si>
    <t>SDI6M</t>
  </si>
  <si>
    <t>HDI6M</t>
  </si>
  <si>
    <t>EUI6M</t>
  </si>
  <si>
    <t>JYI6M</t>
  </si>
  <si>
    <t>BPI6M</t>
  </si>
  <si>
    <t>ADI6M</t>
  </si>
  <si>
    <t>NDI6M</t>
  </si>
  <si>
    <t>SFI6M</t>
  </si>
  <si>
    <t>CDI6M</t>
  </si>
  <si>
    <t>USOSFRF</t>
  </si>
  <si>
    <t>IRNI9M</t>
  </si>
  <si>
    <t>KWNI9M</t>
  </si>
  <si>
    <t>TRNI9M</t>
  </si>
  <si>
    <t>IHNI9M</t>
  </si>
  <si>
    <t>PPNI9M</t>
  </si>
  <si>
    <t>TBOI9M</t>
  </si>
  <si>
    <t>CGI9M</t>
  </si>
  <si>
    <t>SDI9M</t>
  </si>
  <si>
    <t>HDI9M</t>
  </si>
  <si>
    <t>EUI9M</t>
  </si>
  <si>
    <t>JYI9M</t>
  </si>
  <si>
    <t>BPI9M</t>
  </si>
  <si>
    <t>ADI9M</t>
  </si>
  <si>
    <t>NDI9M</t>
  </si>
  <si>
    <t>SFI9M</t>
  </si>
  <si>
    <t>CDI9M</t>
  </si>
  <si>
    <t>USOSFRI</t>
  </si>
  <si>
    <t>IRNI12M</t>
  </si>
  <si>
    <t>KWNI12M</t>
  </si>
  <si>
    <t>TRNI12M</t>
  </si>
  <si>
    <t>IHNI12M</t>
  </si>
  <si>
    <t>PPNI12M</t>
  </si>
  <si>
    <t>TBOI12M</t>
  </si>
  <si>
    <t>CGI12M</t>
  </si>
  <si>
    <t>SDI12M</t>
  </si>
  <si>
    <t>HDI12M</t>
  </si>
  <si>
    <t>EUI12M</t>
  </si>
  <si>
    <t>JYI12M</t>
  </si>
  <si>
    <t>BPI12M</t>
  </si>
  <si>
    <t>ADI12M</t>
  </si>
  <si>
    <t>NDI12M</t>
  </si>
  <si>
    <t>SFI12M</t>
  </si>
  <si>
    <t>CDI12M</t>
  </si>
  <si>
    <t>USOSFR1</t>
  </si>
  <si>
    <t>Reference Date</t>
  </si>
  <si>
    <t>Expiry Date</t>
  </si>
  <si>
    <t>Tenor</t>
  </si>
  <si>
    <t>Value Date</t>
  </si>
  <si>
    <t>SPOT</t>
  </si>
  <si>
    <t>3W</t>
  </si>
  <si>
    <t>18M</t>
  </si>
  <si>
    <t>SGD1M Curncy</t>
  </si>
  <si>
    <t>SGD2M Curncy</t>
  </si>
  <si>
    <t>SGD3M Curncy</t>
  </si>
  <si>
    <t>SGD6M Curncy</t>
  </si>
  <si>
    <t>SGD9M Curncy</t>
  </si>
  <si>
    <t>SGD18M Curncy</t>
  </si>
  <si>
    <t>SGD2Y Curncy</t>
  </si>
  <si>
    <t>SGD12M Curncy</t>
  </si>
  <si>
    <t>SGD3W Curncy</t>
  </si>
  <si>
    <t>SGD2W Curncy</t>
  </si>
  <si>
    <t>SGD1W Curncy</t>
  </si>
  <si>
    <t>USDSGD Curncy</t>
  </si>
  <si>
    <t>SGDON Curncy</t>
  </si>
  <si>
    <t>1D</t>
  </si>
  <si>
    <t>DayCount</t>
  </si>
  <si>
    <t>SwapFactor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</si>
</sst>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>
      <alignment vertical="center"/>
    </xf>
  </cellStyleXfs>
  <cellXfs count="24">
    <xf numFmtId="0" fontId="0" fillId="0" borderId="0" xfId="0"/>
    <xf numFmtId="0" fontId="0" fillId="0" borderId="0" xfId="0" applyAlignment="1">
      <alignment vertical="center"/>
    </xf>
    <xf numFmtId="0" fontId="2" fillId="2" borderId="0" xfId="0" applyFont="1" applyFill="1" applyAlignment="1">
      <alignment vertical="center"/>
    </xf>
    <xf numFmtId="0" fontId="2" fillId="2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3" borderId="0" xfId="0" applyFill="1" applyAlignment="1">
      <alignment vertical="center"/>
    </xf>
    <xf numFmtId="0" fontId="0" fillId="0" borderId="0" xfId="0" applyBorder="1"/>
    <xf numFmtId="0" fontId="0" fillId="0" borderId="1" xfId="0" applyFill="1" applyBorder="1" applyAlignment="1">
      <alignment vertical="center"/>
    </xf>
    <xf numFmtId="0" fontId="0" fillId="0" borderId="0" xfId="0" applyFill="1" applyAlignment="1">
      <alignment vertical="center"/>
    </xf>
    <xf numFmtId="0" fontId="2" fillId="0" borderId="1" xfId="0" applyFont="1" applyFill="1" applyBorder="1" applyAlignment="1">
      <alignment vertical="center"/>
    </xf>
    <xf numFmtId="0" fontId="0" fillId="0" borderId="1" xfId="0" applyBorder="1"/>
    <xf numFmtId="0" fontId="2" fillId="2" borderId="1" xfId="0" applyFont="1" applyFill="1" applyBorder="1"/>
    <xf numFmtId="0" fontId="0" fillId="0" borderId="1" xfId="0" applyFont="1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1" fillId="3" borderId="0" xfId="1" applyFill="1">
      <alignment vertical="center"/>
    </xf>
    <xf numFmtId="0" fontId="1" fillId="5" borderId="0" xfId="1" applyFill="1">
      <alignment vertical="center"/>
    </xf>
    <xf numFmtId="0" fontId="1" fillId="6" borderId="0" xfId="1" applyFill="1">
      <alignment vertical="center"/>
    </xf>
    <xf numFmtId="0" fontId="1" fillId="7" borderId="0" xfId="1" applyFill="1">
      <alignment vertical="center"/>
    </xf>
    <xf numFmtId="0" fontId="1" fillId="8" borderId="0" xfId="1" applyFill="1">
      <alignment vertical="center"/>
    </xf>
    <xf numFmtId="0" fontId="2" fillId="2" borderId="0" xfId="1" applyFont="1" applyFill="1">
      <alignment vertical="center"/>
    </xf>
    <xf numFmtId="0" fontId="0" fillId="5" borderId="0" xfId="0" applyFill="1" applyAlignment="1">
      <alignment vertical="center"/>
    </xf>
    <xf numFmtId="0" fontId="0" fillId="9" borderId="0" xfId="0" applyFill="1" applyAlignment="1">
      <alignment vertical="center"/>
    </xf>
    <xf numFmtId="14" fontId="0" fillId="0" borderId="0" xfId="0" applyNumberFormat="1"/>
  </cellXfs>
  <cellStyles count="2">
    <cellStyle name="Normal" xfId="0" builtinId="0"/>
    <cellStyle name="Normal 2" xfId="1" xr:uid="{856FFD0B-1799-4986-AB62-6E36B0C7B2B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BDH|10382173184396225487</stp>
        <tr r="M26" s="13"/>
      </tp>
      <tp t="s">
        <v>#N/A N/A</v>
        <stp/>
        <stp>BDP|11964903475550806736</stp>
        <tr r="Q11" s="13"/>
      </tp>
      <tp t="s">
        <v>#N/A N/A</v>
        <stp/>
        <stp>BDP|10847675222254221948</stp>
        <tr r="Q15" s="13"/>
      </tp>
      <tp t="s">
        <v>#N/A N/A</v>
        <stp/>
        <stp>BDP|16427990429540869411</stp>
        <tr r="R17" s="13"/>
      </tp>
      <tp t="s">
        <v>#N/A N/A</v>
        <stp/>
        <stp>BDP|10579068607378065715</stp>
        <tr r="Q8" s="13"/>
      </tp>
      <tp t="s">
        <v>#N/A N/A</v>
        <stp/>
        <stp>BDP|18126522386012771549</stp>
        <tr r="R13" s="13"/>
      </tp>
      <tp t="s">
        <v>#N/A N/A</v>
        <stp/>
        <stp>BDP|12749282624235273499</stp>
        <tr r="U7" s="13"/>
      </tp>
      <tp t="s">
        <v>#N/A N/A</v>
        <stp/>
        <stp>BDP|12445333809460660104</stp>
        <tr r="R16" s="13"/>
      </tp>
      <tp t="s">
        <v>#N/A N/A</v>
        <stp/>
        <stp>BDP|11814439722670808799</stp>
        <tr r="Q7" s="13"/>
      </tp>
      <tp t="s">
        <v>#N/A N/A</v>
        <stp/>
        <stp>BDP|14084590964060003702</stp>
        <tr r="R7" s="13"/>
      </tp>
      <tp t="s">
        <v>#N/A N/A</v>
        <stp/>
        <stp>BDP|17826459597344161824</stp>
        <tr r="R6" s="13"/>
      </tp>
      <tp t="s">
        <v>#N/A N/A</v>
        <stp/>
        <stp>BDP|17623600340415591788</stp>
        <tr r="R5" s="13"/>
      </tp>
      <tp t="s">
        <v>#N/A N/A</v>
        <stp/>
        <stp>BDP|14708617155195687554</stp>
        <tr r="Q5" s="13"/>
      </tp>
      <tp t="s">
        <v>#N/A N/A</v>
        <stp/>
        <stp>BDP|17538113261982546533</stp>
        <tr r="R15" s="13"/>
      </tp>
      <tp t="s">
        <v>#N/A N/A</v>
        <stp/>
        <stp>BDP|17314269581272837883</stp>
        <tr r="B4" s="13"/>
        <tr r="R10" s="13"/>
      </tp>
    </main>
    <main first="bofaddin.rtdserver">
      <tp t="s">
        <v>#N/A N/A</v>
        <stp/>
        <stp>BDP|9155577728622727039</stp>
        <tr r="Q13" s="13"/>
      </tp>
      <tp t="s">
        <v>#N/A N/A</v>
        <stp/>
        <stp>BQL|21132348882573370</stp>
        <tr r="M21" s="13"/>
      </tp>
      <tp t="s">
        <v>#N/A N/A</v>
        <stp/>
        <stp>BDP|5428637284945936023</stp>
        <tr r="Q10" s="13"/>
      </tp>
      <tp t="s">
        <v>#N/A N/A</v>
        <stp/>
        <stp>BDP|4050367424868473381</stp>
        <tr r="Q12" s="13"/>
      </tp>
      <tp t="s">
        <v>#N/A N/A</v>
        <stp/>
        <stp>BDP|4396163199807302283</stp>
        <tr r="Q14" s="13"/>
      </tp>
      <tp t="s">
        <v>#N/A N/A</v>
        <stp/>
        <stp>BDP|6619592991069054959</stp>
        <tr r="R11" s="13"/>
      </tp>
      <tp t="s">
        <v>#N/A N/A</v>
        <stp/>
        <stp>BQL.DATE|5959571919370086977</stp>
        <tr r="M23" s="13"/>
        <tr r="M21" s="13"/>
      </tp>
      <tp t="s">
        <v>#N/A N/A</v>
        <stp/>
        <stp>BDP|3868566343391053788</stp>
        <tr r="Q9" s="13"/>
      </tp>
      <tp t="s">
        <v>#N/A N/A</v>
        <stp/>
        <stp>BQL|2779619264980317770</stp>
        <tr r="M23" s="13"/>
      </tp>
      <tp t="s">
        <v>#N/A N/A</v>
        <stp/>
        <stp>BDP|6771595540174043404</stp>
        <tr r="B6" s="13"/>
      </tp>
      <tp t="s">
        <v>#N/A N/A</v>
        <stp/>
        <stp>BDP|4921151625001578745</stp>
        <tr r="R14" s="13"/>
      </tp>
      <tp t="s">
        <v>#N/A N/A</v>
        <stp/>
        <stp>BDP|9211941919889424950</stp>
        <tr r="R12" s="13"/>
      </tp>
      <tp t="s">
        <v>#N/A N/A</v>
        <stp/>
        <stp>BDP|8352991113294009588</stp>
        <tr r="R8" s="13"/>
      </tp>
      <tp t="s">
        <v>#N/A N/A</v>
        <stp/>
        <stp>BDP|5764967676371199883</stp>
        <tr r="Q16" s="13"/>
      </tp>
      <tp t="s">
        <v>#N/A N/A</v>
        <stp/>
        <stp>BDP|7819653250440654712</stp>
        <tr r="R9" s="13"/>
      </tp>
      <tp t="s">
        <v>#N/A N/A</v>
        <stp/>
        <stp>BDP|4993645711018001869</stp>
        <tr r="Q6" s="13"/>
      </tp>
      <tp t="s">
        <v>#N/A N/A</v>
        <stp/>
        <stp>BDP|160429200293040043</stp>
        <tr r="Q17" s="1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volatileDependencies" Target="volatileDependenci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282E6-7EC6-42F7-A66C-79F8E0F3E5FC}">
  <dimension ref="B2:U26"/>
  <sheetViews>
    <sheetView workbookViewId="0">
      <selection activeCell="Q5" sqref="Q5"/>
    </sheetView>
  </sheetViews>
  <sheetFormatPr defaultRowHeight="15" x14ac:dyDescent="0.25"/>
  <cols>
    <col min="2" max="2" width="9.42578125" bestFit="1" customWidth="1"/>
    <col min="12" max="13" width="19.140625" bestFit="1" customWidth="1"/>
    <col min="14" max="14" width="14.7109375" bestFit="1" customWidth="1"/>
    <col min="15" max="15" width="14.140625" bestFit="1" customWidth="1"/>
    <col min="16" max="16" width="6" bestFit="1" customWidth="1"/>
    <col min="17" max="17" width="10.5703125" bestFit="1" customWidth="1"/>
    <col min="18" max="18" width="10.42578125" bestFit="1" customWidth="1"/>
  </cols>
  <sheetData>
    <row r="2" spans="2:21" x14ac:dyDescent="0.25">
      <c r="B2" s="23">
        <f ca="1">TODAY()</f>
        <v>46154</v>
      </c>
    </row>
    <row r="3" spans="2:21" x14ac:dyDescent="0.25">
      <c r="O3" t="s">
        <v>1326</v>
      </c>
      <c r="P3" t="s">
        <v>1328</v>
      </c>
      <c r="Q3" t="s">
        <v>1327</v>
      </c>
      <c r="R3" t="s">
        <v>1329</v>
      </c>
    </row>
    <row r="4" spans="2:21" x14ac:dyDescent="0.25">
      <c r="B4" t="str" cm="1">
        <f t="array" aca="1" ref="B4" ca="1">_xll.BDP("SGD1M Curncy", "SETTLE_DT", "REFERENCE_DATE", TEXT(B2, "YYYYMMDD"))</f>
        <v>6/15/2026</v>
      </c>
      <c r="O4" s="23"/>
    </row>
    <row r="5" spans="2:21" x14ac:dyDescent="0.25">
      <c r="M5" t="s">
        <v>76</v>
      </c>
      <c r="N5" t="s">
        <v>1345</v>
      </c>
      <c r="O5" s="23">
        <f ca="1">TODAY()</f>
        <v>46154</v>
      </c>
      <c r="P5" t="s">
        <v>1346</v>
      </c>
      <c r="Q5" t="str" cm="1">
        <f t="array" aca="1" ref="Q5" ca="1">_xll.BDP(M5, "VOL_SURF_EXPIRY_OVR", "VOL_SURF_MTY_OVR="&amp;P5, "REFERENCE_DATE", TEXT(O5, "YYYYMMDD"))</f>
        <v>5/13/2026</v>
      </c>
      <c r="R5" t="str" cm="1">
        <f t="array" aca="1" ref="R5" ca="1">_xll.BDP(N5, "SETTLE_DT", "REFERENCE_DATE", TEXT(O5, "YYYYMMDD"))</f>
        <v>5/13/2026</v>
      </c>
    </row>
    <row r="6" spans="2:21" x14ac:dyDescent="0.25">
      <c r="B6" t="str" cm="1">
        <f t="array" aca="1" ref="B6" ca="1">_xll.BDP("EURSGD BGN Curncy", "VOL_SURF_EXPIRY_OVR", "VOL_SURF_MTY_OVR=0N", "REFERENCE_DATE", TEXT(B2, "YYYYMMDD"))</f>
        <v>5/12/2026</v>
      </c>
      <c r="M6" t="s">
        <v>76</v>
      </c>
      <c r="N6" t="s">
        <v>1344</v>
      </c>
      <c r="O6" s="23">
        <f ca="1">TODAY()-3</f>
        <v>46151</v>
      </c>
      <c r="P6" t="s">
        <v>1330</v>
      </c>
      <c r="Q6" t="str" cm="1">
        <f t="array" aca="1" ref="Q6" ca="1">_xll.BDP(M6, "VOL_SURF_EXPIRY_OVR", "VOL_SURF_MTY_OVR="&amp;P6, "REFERENCE_DATE", TEXT(O6, "YYYYMMDD"))</f>
        <v>5/11/2026</v>
      </c>
      <c r="R6" t="str" cm="1">
        <f t="array" aca="1" ref="R6" ca="1">_xll.BDP(N6, "SETTLE_DT", "REFERENCE_DATE", TEXT(O6, "YYYYMMDD"))</f>
        <v>5/13/2026</v>
      </c>
      <c r="S6">
        <f t="shared" ref="S6:S8" ca="1" si="0">R7-Q7</f>
        <v>2</v>
      </c>
    </row>
    <row r="7" spans="2:21" x14ac:dyDescent="0.25">
      <c r="M7" t="s">
        <v>76</v>
      </c>
      <c r="N7" t="s">
        <v>1343</v>
      </c>
      <c r="O7" s="23">
        <f t="shared" ref="O6:O17" ca="1" si="1">TODAY()</f>
        <v>46154</v>
      </c>
      <c r="P7" t="s">
        <v>0</v>
      </c>
      <c r="Q7" t="str" cm="1">
        <f t="array" aca="1" ref="Q7" ca="1">_xll.BDP(M7, "VOL_SURF_EXPIRY_OVR", "VOL_SURF_MTY_OVR="&amp;P7, "REFERENCE_DATE", TEXT(O7, "YYYYMMDD"))</f>
        <v>5/19/2026</v>
      </c>
      <c r="R7" t="str" cm="1">
        <f t="array" aca="1" ref="R7" ca="1">_xll.BDP(N7, "SETTLE_DT", "REFERENCE_DATE", TEXT(O7, "YYYYMMDD"))</f>
        <v>5/21/2026</v>
      </c>
      <c r="S7">
        <f t="shared" ref="S7:S16" ca="1" si="2">R7-Q7</f>
        <v>2</v>
      </c>
      <c r="U7" t="str" cm="1">
        <f t="array" ref="U7">_xll.BDP(N7,"MATURITY")</f>
        <v>5/20/2026</v>
      </c>
    </row>
    <row r="8" spans="2:21" x14ac:dyDescent="0.25">
      <c r="M8" t="s">
        <v>76</v>
      </c>
      <c r="N8" t="s">
        <v>1342</v>
      </c>
      <c r="O8" s="23">
        <f t="shared" ca="1" si="1"/>
        <v>46154</v>
      </c>
      <c r="P8" t="s">
        <v>1</v>
      </c>
      <c r="Q8" t="str" cm="1">
        <f t="array" aca="1" ref="Q8" ca="1">_xll.BDP(M8, "VOL_SURF_EXPIRY_OVR", "VOL_SURF_MTY_OVR="&amp;P8, "REFERENCE_DATE", TEXT(O8, "YYYYMMDD"))</f>
        <v>5/26/2026</v>
      </c>
      <c r="R8" t="str" cm="1">
        <f t="array" aca="1" ref="R8" ca="1">_xll.BDP(N8, "SETTLE_DT", "REFERENCE_DATE", TEXT(O8, "YYYYMMDD"))</f>
        <v>5/28/2026</v>
      </c>
      <c r="S8">
        <f t="shared" ca="1" si="2"/>
        <v>2</v>
      </c>
    </row>
    <row r="9" spans="2:21" x14ac:dyDescent="0.25">
      <c r="M9" t="s">
        <v>76</v>
      </c>
      <c r="N9" t="s">
        <v>1341</v>
      </c>
      <c r="O9" s="23">
        <f t="shared" ca="1" si="1"/>
        <v>46154</v>
      </c>
      <c r="P9" t="s">
        <v>1331</v>
      </c>
      <c r="Q9" t="str" cm="1">
        <f t="array" aca="1" ref="Q9" ca="1">_xll.BDP(M9, "VOL_SURF_EXPIRY_OVR", "VOL_SURF_MTY_OVR="&amp;P9, "REFERENCE_DATE", TEXT(O9, "YYYYMMDD"))</f>
        <v>6/2/2026</v>
      </c>
      <c r="R9" t="str" cm="1">
        <f t="array" aca="1" ref="R9" ca="1">_xll.BDP(N9, "SETTLE_DT", "REFERENCE_DATE", TEXT(O9, "YYYYMMDD"))</f>
        <v>6/4/2026</v>
      </c>
      <c r="S9">
        <f t="shared" ca="1" si="2"/>
        <v>2</v>
      </c>
    </row>
    <row r="10" spans="2:21" x14ac:dyDescent="0.25">
      <c r="M10" t="s">
        <v>76</v>
      </c>
      <c r="N10" t="s">
        <v>1333</v>
      </c>
      <c r="O10" s="23">
        <f t="shared" ca="1" si="1"/>
        <v>46154</v>
      </c>
      <c r="P10" t="s">
        <v>2</v>
      </c>
      <c r="Q10" t="str" cm="1">
        <f t="array" aca="1" ref="Q10" ca="1">_xll.BDP(M10, "VOL_SURF_EXPIRY_OVR", "VOL_SURF_MTY_OVR="&amp;P10, "REFERENCE_DATE", TEXT(O10, "YYYYMMDD"))</f>
        <v>6/11/2026</v>
      </c>
      <c r="R10" t="str" cm="1">
        <f t="array" aca="1" ref="R10" ca="1">_xll.BDP(N10, "SETTLE_DT", "REFERENCE_DATE", TEXT(O10, "YYYYMMDD"))</f>
        <v>6/15/2026</v>
      </c>
      <c r="S10">
        <f t="shared" ca="1" si="2"/>
        <v>4</v>
      </c>
    </row>
    <row r="11" spans="2:21" x14ac:dyDescent="0.25">
      <c r="M11" t="s">
        <v>76</v>
      </c>
      <c r="N11" t="s">
        <v>1334</v>
      </c>
      <c r="O11" s="23">
        <f t="shared" ca="1" si="1"/>
        <v>46154</v>
      </c>
      <c r="P11" t="s">
        <v>3</v>
      </c>
      <c r="Q11" t="str" cm="1">
        <f t="array" aca="1" ref="Q11" ca="1">_xll.BDP(M11, "VOL_SURF_EXPIRY_OVR", "VOL_SURF_MTY_OVR="&amp;P11, "REFERENCE_DATE", TEXT(O11, "YYYYMMDD"))</f>
        <v>7/10/2026</v>
      </c>
      <c r="R11" t="str" cm="1">
        <f t="array" aca="1" ref="R11" ca="1">_xll.BDP(N11, "SETTLE_DT", "REFERENCE_DATE", TEXT(O11, "YYYYMMDD"))</f>
        <v>7/14/2026</v>
      </c>
      <c r="S11">
        <f t="shared" ca="1" si="2"/>
        <v>4</v>
      </c>
    </row>
    <row r="12" spans="2:21" x14ac:dyDescent="0.25">
      <c r="M12" t="s">
        <v>76</v>
      </c>
      <c r="N12" t="s">
        <v>1335</v>
      </c>
      <c r="O12" s="23">
        <f t="shared" ca="1" si="1"/>
        <v>46154</v>
      </c>
      <c r="P12" t="s">
        <v>4</v>
      </c>
      <c r="Q12" t="str" cm="1">
        <f t="array" aca="1" ref="Q12" ca="1">_xll.BDP(M12, "VOL_SURF_EXPIRY_OVR", "VOL_SURF_MTY_OVR="&amp;P12, "REFERENCE_DATE", TEXT(O12, "YYYYMMDD"))</f>
        <v>8/12/2026</v>
      </c>
      <c r="R12" t="str" cm="1">
        <f t="array" aca="1" ref="R12" ca="1">_xll.BDP(N12, "SETTLE_DT", "REFERENCE_DATE", TEXT(O12, "YYYYMMDD"))</f>
        <v>8/14/2026</v>
      </c>
      <c r="S12">
        <f t="shared" ca="1" si="2"/>
        <v>2</v>
      </c>
    </row>
    <row r="13" spans="2:21" x14ac:dyDescent="0.25">
      <c r="M13" t="s">
        <v>76</v>
      </c>
      <c r="N13" t="s">
        <v>1336</v>
      </c>
      <c r="O13" s="23">
        <f t="shared" ca="1" si="1"/>
        <v>46154</v>
      </c>
      <c r="P13" t="s">
        <v>5</v>
      </c>
      <c r="Q13" t="str" cm="1">
        <f t="array" aca="1" ref="Q13" ca="1">_xll.BDP(M13, "VOL_SURF_EXPIRY_OVR", "VOL_SURF_MTY_OVR="&amp;P13, "REFERENCE_DATE", TEXT(O13, "YYYYMMDD"))</f>
        <v>11/12/2026</v>
      </c>
      <c r="R13" t="str" cm="1">
        <f t="array" aca="1" ref="R13" ca="1">_xll.BDP(N13, "SETTLE_DT", "REFERENCE_DATE", TEXT(O13, "YYYYMMDD"))</f>
        <v>11/16/2026</v>
      </c>
      <c r="S13">
        <f t="shared" ca="1" si="2"/>
        <v>4</v>
      </c>
    </row>
    <row r="14" spans="2:21" x14ac:dyDescent="0.25">
      <c r="M14" t="s">
        <v>76</v>
      </c>
      <c r="N14" t="s">
        <v>1337</v>
      </c>
      <c r="O14" s="23">
        <f t="shared" ca="1" si="1"/>
        <v>46154</v>
      </c>
      <c r="P14" t="s">
        <v>6</v>
      </c>
      <c r="Q14" t="str" cm="1">
        <f t="array" aca="1" ref="Q14" ca="1">_xll.BDP(M14, "VOL_SURF_EXPIRY_OVR", "VOL_SURF_MTY_OVR="&amp;P14, "REFERENCE_DATE", TEXT(O14, "YYYYMMDD"))</f>
        <v>2/12/2027</v>
      </c>
      <c r="R14" t="str" cm="1">
        <f t="array" aca="1" ref="R14" ca="1">_xll.BDP(N14, "SETTLE_DT", "REFERENCE_DATE", TEXT(O14, "YYYYMMDD"))</f>
        <v>2/16/2027</v>
      </c>
      <c r="S14">
        <f t="shared" ca="1" si="2"/>
        <v>4</v>
      </c>
    </row>
    <row r="15" spans="2:21" x14ac:dyDescent="0.25">
      <c r="M15" t="s">
        <v>76</v>
      </c>
      <c r="N15" t="s">
        <v>1340</v>
      </c>
      <c r="O15" s="23">
        <f t="shared" ca="1" si="1"/>
        <v>46154</v>
      </c>
      <c r="P15" t="s">
        <v>24</v>
      </c>
      <c r="Q15" t="str" cm="1">
        <f t="array" aca="1" ref="Q15" ca="1">_xll.BDP(M15, "VOL_SURF_EXPIRY_OVR", "VOL_SURF_MTY_OVR="&amp;P15, "REFERENCE_DATE", TEXT(O15, "YYYYMMDD"))</f>
        <v>5/12/2027</v>
      </c>
      <c r="R15" t="str" cm="1">
        <f t="array" aca="1" ref="R15" ca="1">_xll.BDP(N15, "SETTLE_DT", "REFERENCE_DATE", TEXT(O15, "YYYYMMDD"))</f>
        <v>5/14/2027</v>
      </c>
      <c r="S15">
        <f t="shared" ca="1" si="2"/>
        <v>2</v>
      </c>
    </row>
    <row r="16" spans="2:21" x14ac:dyDescent="0.25">
      <c r="M16" t="s">
        <v>76</v>
      </c>
      <c r="N16" t="s">
        <v>1338</v>
      </c>
      <c r="O16" s="23">
        <f t="shared" ca="1" si="1"/>
        <v>46154</v>
      </c>
      <c r="P16" t="s">
        <v>1332</v>
      </c>
      <c r="Q16" t="str" cm="1">
        <f t="array" aca="1" ref="Q16" ca="1">_xll.BDP(M16, "VOL_SURF_EXPIRY_OVR", "VOL_SURF_MTY_OVR="&amp;P16, "REFERENCE_DATE", TEXT(O16, "YYYYMMDD"))</f>
        <v>11/11/2027</v>
      </c>
      <c r="R16" t="str" cm="1">
        <f t="array" aca="1" ref="R16" ca="1">_xll.BDP(N16, "SETTLE_DT", "REFERENCE_DATE", TEXT(O16, "YYYYMMDD"))</f>
        <v>11/15/2027</v>
      </c>
      <c r="S16">
        <f t="shared" ca="1" si="2"/>
        <v>4</v>
      </c>
    </row>
    <row r="17" spans="13:19" x14ac:dyDescent="0.25">
      <c r="M17" t="s">
        <v>76</v>
      </c>
      <c r="N17" t="s">
        <v>1339</v>
      </c>
      <c r="O17" s="23">
        <f t="shared" ca="1" si="1"/>
        <v>46154</v>
      </c>
      <c r="P17" t="s">
        <v>35</v>
      </c>
      <c r="Q17" t="str" cm="1">
        <f t="array" aca="1" ref="Q17" ca="1">_xll.BDP(M17, "VOL_SURF_EXPIRY_OVR", "VOL_SURF_MTY_OVR="&amp;P17, "REFERENCE_DATE", TEXT(O17, "YYYYMMDD"))</f>
        <v>5/11/2028</v>
      </c>
      <c r="R17" t="str" cm="1">
        <f t="array" aca="1" ref="R17" ca="1">_xll.BDP(N17, "SETTLE_DT", "REFERENCE_DATE", TEXT(O17, "YYYYMMDD"))</f>
        <v>5/15/2028</v>
      </c>
      <c r="S17">
        <f ca="1">R17-Q17</f>
        <v>4</v>
      </c>
    </row>
    <row r="21" spans="13:19" x14ac:dyDescent="0.25">
      <c r="M21" t="str" cm="1">
        <f t="array" aca="1" ref="M21" ca="1">_xll.BQL("SGD1M Curncy", "settle_dt(reference_date=" &amp; _xll.BQL.DATE(B2) &amp; ").value")</f>
        <v>#N/A Invalid Parameter: Error encountered while validating ITEM - SETTLE_DT.  Incorrect parameters provided.</v>
      </c>
    </row>
    <row r="23" spans="13:19" x14ac:dyDescent="0.25">
      <c r="M23" s="23" cm="1">
        <f t="array" aca="1" ref="M23" ca="1">_xll.BQL("SGD1M Curncy", "settle_dt(dates=" &amp; _xll.BQL.DATE(B2) &amp; ").value")</f>
        <v>46188</v>
      </c>
    </row>
    <row r="24" spans="13:19" x14ac:dyDescent="0.25">
      <c r="M24" s="23">
        <f ca="1">TODAY()-6</f>
        <v>46148</v>
      </c>
    </row>
    <row r="25" spans="13:19" x14ac:dyDescent="0.25">
      <c r="M25" s="23">
        <f ca="1">TODAY()-10</f>
        <v>46144</v>
      </c>
    </row>
    <row r="26" spans="13:19" x14ac:dyDescent="0.25">
      <c r="M26" t="str" cm="1">
        <f t="array" aca="1" ref="M26" ca="1">_xll.BDH("SGD1M Curncy", "MATURITY", M25,M24)</f>
        <v>#N/A N/A</v>
      </c>
    </row>
  </sheetData>
  <pageMargins left="0.7" right="0.7" top="0.75" bottom="0.75" header="0.3" footer="0.3"/>
  <ignoredErrors>
    <ignoredError sqref="R10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B5EE4-8E0C-47C0-8D8F-E3168A4FFD11}">
  <dimension ref="A1:R9"/>
  <sheetViews>
    <sheetView workbookViewId="0">
      <selection activeCell="U23" sqref="U23"/>
    </sheetView>
  </sheetViews>
  <sheetFormatPr defaultRowHeight="15" x14ac:dyDescent="0.25"/>
  <cols>
    <col min="18" max="18" width="12.28515625" customWidth="1"/>
  </cols>
  <sheetData>
    <row r="1" spans="1:18" x14ac:dyDescent="0.25">
      <c r="A1" s="12" t="s">
        <v>63</v>
      </c>
      <c r="B1" s="12" t="s">
        <v>8</v>
      </c>
      <c r="C1" s="12" t="s">
        <v>9</v>
      </c>
      <c r="D1" s="12" t="s">
        <v>10</v>
      </c>
      <c r="E1" s="12" t="s">
        <v>12</v>
      </c>
      <c r="F1" s="12" t="s">
        <v>13</v>
      </c>
      <c r="G1" s="12" t="s">
        <v>15</v>
      </c>
      <c r="H1" s="12" t="s">
        <v>11</v>
      </c>
      <c r="I1" s="12" t="s">
        <v>7</v>
      </c>
      <c r="J1" s="12" t="s">
        <v>14</v>
      </c>
      <c r="K1" s="12" t="s">
        <v>17</v>
      </c>
      <c r="L1" s="12" t="s">
        <v>18</v>
      </c>
      <c r="M1" s="12" t="s">
        <v>19</v>
      </c>
      <c r="N1" s="12" t="s">
        <v>20</v>
      </c>
      <c r="O1" s="12" t="s">
        <v>21</v>
      </c>
      <c r="P1" s="12" t="s">
        <v>22</v>
      </c>
      <c r="Q1" s="12" t="s">
        <v>23</v>
      </c>
      <c r="R1" s="12" t="s">
        <v>16</v>
      </c>
    </row>
    <row r="2" spans="1:18" x14ac:dyDescent="0.25">
      <c r="A2" s="11" t="s">
        <v>0</v>
      </c>
      <c r="B2" s="11" t="s">
        <v>1190</v>
      </c>
      <c r="C2" s="11" t="s">
        <v>1191</v>
      </c>
      <c r="D2" s="11" t="s">
        <v>1192</v>
      </c>
      <c r="E2" s="11" t="s">
        <v>1193</v>
      </c>
      <c r="F2" s="11" t="s">
        <v>1194</v>
      </c>
      <c r="G2" s="11" t="s">
        <v>1195</v>
      </c>
      <c r="H2" s="11" t="s">
        <v>1196</v>
      </c>
      <c r="I2" s="11" t="s">
        <v>1197</v>
      </c>
      <c r="J2" s="11" t="s">
        <v>1198</v>
      </c>
      <c r="K2" s="11" t="s">
        <v>1199</v>
      </c>
      <c r="L2" s="11" t="s">
        <v>1200</v>
      </c>
      <c r="M2" s="11" t="s">
        <v>1201</v>
      </c>
      <c r="N2" s="11" t="s">
        <v>1202</v>
      </c>
      <c r="O2" s="11" t="s">
        <v>1203</v>
      </c>
      <c r="P2" s="11" t="s">
        <v>1204</v>
      </c>
      <c r="Q2" s="11" t="s">
        <v>1205</v>
      </c>
      <c r="R2" s="11" t="s">
        <v>1206</v>
      </c>
    </row>
    <row r="3" spans="1:18" x14ac:dyDescent="0.25">
      <c r="A3" s="11" t="s">
        <v>1</v>
      </c>
      <c r="B3" s="11" t="s">
        <v>1207</v>
      </c>
      <c r="C3" s="11" t="s">
        <v>1208</v>
      </c>
      <c r="D3" s="11" t="s">
        <v>1209</v>
      </c>
      <c r="E3" s="11" t="s">
        <v>1210</v>
      </c>
      <c r="F3" s="11" t="s">
        <v>1211</v>
      </c>
      <c r="G3" s="11" t="s">
        <v>1212</v>
      </c>
      <c r="H3" s="11" t="s">
        <v>1213</v>
      </c>
      <c r="I3" s="11" t="s">
        <v>1214</v>
      </c>
      <c r="J3" s="11" t="s">
        <v>1215</v>
      </c>
      <c r="K3" s="11" t="s">
        <v>1216</v>
      </c>
      <c r="L3" s="11" t="s">
        <v>1217</v>
      </c>
      <c r="M3" s="11" t="s">
        <v>1218</v>
      </c>
      <c r="N3" s="11" t="s">
        <v>1219</v>
      </c>
      <c r="O3" s="11" t="s">
        <v>1220</v>
      </c>
      <c r="P3" s="11" t="s">
        <v>1221</v>
      </c>
      <c r="Q3" s="11" t="s">
        <v>1222</v>
      </c>
      <c r="R3" s="11" t="s">
        <v>1223</v>
      </c>
    </row>
    <row r="4" spans="1:18" x14ac:dyDescent="0.25">
      <c r="A4" s="11" t="s">
        <v>2</v>
      </c>
      <c r="B4" s="11" t="s">
        <v>1224</v>
      </c>
      <c r="C4" s="11" t="s">
        <v>1225</v>
      </c>
      <c r="D4" s="11" t="s">
        <v>1226</v>
      </c>
      <c r="E4" s="11" t="s">
        <v>1227</v>
      </c>
      <c r="F4" s="11" t="s">
        <v>1228</v>
      </c>
      <c r="G4" s="11" t="s">
        <v>1229</v>
      </c>
      <c r="H4" s="11" t="s">
        <v>1230</v>
      </c>
      <c r="I4" s="11" t="s">
        <v>1231</v>
      </c>
      <c r="J4" s="11" t="s">
        <v>1232</v>
      </c>
      <c r="K4" s="11" t="s">
        <v>1233</v>
      </c>
      <c r="L4" s="11" t="s">
        <v>1234</v>
      </c>
      <c r="M4" s="11" t="s">
        <v>1235</v>
      </c>
      <c r="N4" s="11" t="s">
        <v>1236</v>
      </c>
      <c r="O4" s="11" t="s">
        <v>1237</v>
      </c>
      <c r="P4" s="11" t="s">
        <v>1238</v>
      </c>
      <c r="Q4" s="11" t="s">
        <v>1239</v>
      </c>
      <c r="R4" s="11" t="s">
        <v>1240</v>
      </c>
    </row>
    <row r="5" spans="1:18" x14ac:dyDescent="0.25">
      <c r="A5" s="11" t="s">
        <v>3</v>
      </c>
      <c r="B5" s="11" t="s">
        <v>1241</v>
      </c>
      <c r="C5" s="11" t="s">
        <v>1242</v>
      </c>
      <c r="D5" s="11" t="s">
        <v>1243</v>
      </c>
      <c r="E5" s="11" t="s">
        <v>1244</v>
      </c>
      <c r="F5" s="11" t="s">
        <v>1245</v>
      </c>
      <c r="G5" s="11" t="s">
        <v>1246</v>
      </c>
      <c r="H5" s="11" t="s">
        <v>1247</v>
      </c>
      <c r="I5" s="11" t="s">
        <v>1248</v>
      </c>
      <c r="J5" s="11" t="s">
        <v>1249</v>
      </c>
      <c r="K5" s="11" t="s">
        <v>1250</v>
      </c>
      <c r="L5" s="11" t="s">
        <v>1251</v>
      </c>
      <c r="M5" s="11" t="s">
        <v>1252</v>
      </c>
      <c r="N5" s="11" t="s">
        <v>1253</v>
      </c>
      <c r="O5" s="11" t="s">
        <v>1254</v>
      </c>
      <c r="P5" s="11" t="s">
        <v>1255</v>
      </c>
      <c r="Q5" s="11" t="s">
        <v>1256</v>
      </c>
      <c r="R5" s="11" t="s">
        <v>1257</v>
      </c>
    </row>
    <row r="6" spans="1:18" x14ac:dyDescent="0.25">
      <c r="A6" s="11" t="s">
        <v>4</v>
      </c>
      <c r="B6" s="11" t="s">
        <v>1258</v>
      </c>
      <c r="C6" s="11" t="s">
        <v>1259</v>
      </c>
      <c r="D6" s="11" t="s">
        <v>1260</v>
      </c>
      <c r="E6" s="11" t="s">
        <v>1261</v>
      </c>
      <c r="F6" s="11" t="s">
        <v>1262</v>
      </c>
      <c r="G6" s="11" t="s">
        <v>1263</v>
      </c>
      <c r="H6" s="11" t="s">
        <v>1264</v>
      </c>
      <c r="I6" s="11" t="s">
        <v>1265</v>
      </c>
      <c r="J6" s="11" t="s">
        <v>1266</v>
      </c>
      <c r="K6" s="11" t="s">
        <v>1267</v>
      </c>
      <c r="L6" s="11" t="s">
        <v>1268</v>
      </c>
      <c r="M6" s="11" t="s">
        <v>1269</v>
      </c>
      <c r="N6" s="11" t="s">
        <v>1270</v>
      </c>
      <c r="O6" s="11" t="s">
        <v>1271</v>
      </c>
      <c r="P6" s="11" t="s">
        <v>1272</v>
      </c>
      <c r="Q6" s="11" t="s">
        <v>1273</v>
      </c>
      <c r="R6" s="11" t="s">
        <v>1274</v>
      </c>
    </row>
    <row r="7" spans="1:18" x14ac:dyDescent="0.25">
      <c r="A7" s="11" t="s">
        <v>5</v>
      </c>
      <c r="B7" s="11" t="s">
        <v>1275</v>
      </c>
      <c r="C7" s="11" t="s">
        <v>1276</v>
      </c>
      <c r="D7" s="11" t="s">
        <v>1277</v>
      </c>
      <c r="E7" s="11" t="s">
        <v>1278</v>
      </c>
      <c r="F7" s="11" t="s">
        <v>1279</v>
      </c>
      <c r="G7" s="11" t="s">
        <v>1280</v>
      </c>
      <c r="H7" s="11" t="s">
        <v>1281</v>
      </c>
      <c r="I7" s="11" t="s">
        <v>1282</v>
      </c>
      <c r="J7" s="11" t="s">
        <v>1283</v>
      </c>
      <c r="K7" s="11" t="s">
        <v>1284</v>
      </c>
      <c r="L7" s="11" t="s">
        <v>1285</v>
      </c>
      <c r="M7" s="11" t="s">
        <v>1286</v>
      </c>
      <c r="N7" s="11" t="s">
        <v>1287</v>
      </c>
      <c r="O7" s="11" t="s">
        <v>1288</v>
      </c>
      <c r="P7" s="11" t="s">
        <v>1289</v>
      </c>
      <c r="Q7" s="11" t="s">
        <v>1290</v>
      </c>
      <c r="R7" s="11" t="s">
        <v>1291</v>
      </c>
    </row>
    <row r="8" spans="1:18" x14ac:dyDescent="0.25">
      <c r="A8" s="11" t="s">
        <v>6</v>
      </c>
      <c r="B8" s="11" t="s">
        <v>1292</v>
      </c>
      <c r="C8" s="11" t="s">
        <v>1293</v>
      </c>
      <c r="D8" s="11" t="s">
        <v>1294</v>
      </c>
      <c r="E8" s="11" t="s">
        <v>1295</v>
      </c>
      <c r="F8" s="11" t="s">
        <v>1296</v>
      </c>
      <c r="G8" s="11" t="s">
        <v>1297</v>
      </c>
      <c r="H8" s="11" t="s">
        <v>1298</v>
      </c>
      <c r="I8" s="11" t="s">
        <v>1299</v>
      </c>
      <c r="J8" s="11" t="s">
        <v>1300</v>
      </c>
      <c r="K8" s="11" t="s">
        <v>1301</v>
      </c>
      <c r="L8" s="11" t="s">
        <v>1302</v>
      </c>
      <c r="M8" s="11" t="s">
        <v>1303</v>
      </c>
      <c r="N8" s="11" t="s">
        <v>1304</v>
      </c>
      <c r="O8" s="11" t="s">
        <v>1305</v>
      </c>
      <c r="P8" s="11" t="s">
        <v>1306</v>
      </c>
      <c r="Q8" s="11" t="s">
        <v>1307</v>
      </c>
      <c r="R8" s="11" t="s">
        <v>1308</v>
      </c>
    </row>
    <row r="9" spans="1:18" x14ac:dyDescent="0.25">
      <c r="A9" s="11" t="s">
        <v>34</v>
      </c>
      <c r="B9" s="11" t="s">
        <v>1309</v>
      </c>
      <c r="C9" s="11" t="s">
        <v>1310</v>
      </c>
      <c r="D9" s="11" t="s">
        <v>1311</v>
      </c>
      <c r="E9" s="11" t="s">
        <v>1312</v>
      </c>
      <c r="F9" s="11" t="s">
        <v>1313</v>
      </c>
      <c r="G9" s="11" t="s">
        <v>1314</v>
      </c>
      <c r="H9" s="11" t="s">
        <v>1315</v>
      </c>
      <c r="I9" s="11" t="s">
        <v>1316</v>
      </c>
      <c r="J9" s="11" t="s">
        <v>1317</v>
      </c>
      <c r="K9" s="11" t="s">
        <v>1318</v>
      </c>
      <c r="L9" s="11" t="s">
        <v>1319</v>
      </c>
      <c r="M9" s="11" t="s">
        <v>1320</v>
      </c>
      <c r="N9" s="11" t="s">
        <v>1321</v>
      </c>
      <c r="O9" s="11" t="s">
        <v>1322</v>
      </c>
      <c r="P9" s="11" t="s">
        <v>1323</v>
      </c>
      <c r="Q9" s="11" t="s">
        <v>1324</v>
      </c>
      <c r="R9" s="11" t="s">
        <v>1325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C91DE-0EF3-4FE9-B0B5-182A0719E64B}">
  <dimension ref="A1:B22"/>
  <sheetViews>
    <sheetView workbookViewId="0">
      <selection activeCell="F18" sqref="F18"/>
    </sheetView>
  </sheetViews>
  <sheetFormatPr defaultRowHeight="15" x14ac:dyDescent="0.25"/>
  <cols>
    <col min="1" max="1" width="9.42578125" bestFit="1" customWidth="1"/>
    <col min="2" max="2" width="19.5703125" bestFit="1" customWidth="1"/>
  </cols>
  <sheetData>
    <row r="1" spans="1:2" x14ac:dyDescent="0.25">
      <c r="A1" s="3" t="s">
        <v>57</v>
      </c>
      <c r="B1" s="3" t="s">
        <v>64</v>
      </c>
    </row>
    <row r="2" spans="1:2" x14ac:dyDescent="0.25">
      <c r="A2" s="8" t="s">
        <v>42</v>
      </c>
      <c r="B2" s="13" t="str">
        <f>A2&amp;" BGN Curncy"</f>
        <v>USDIDR BGN Curncy</v>
      </c>
    </row>
    <row r="3" spans="1:2" x14ac:dyDescent="0.25">
      <c r="A3" s="8" t="s">
        <v>40</v>
      </c>
      <c r="B3" s="13" t="str">
        <f t="shared" ref="B3:B22" si="0">A3&amp;" BGN Curncy"</f>
        <v>USDINR BGN Curncy</v>
      </c>
    </row>
    <row r="4" spans="1:2" x14ac:dyDescent="0.25">
      <c r="A4" s="8" t="s">
        <v>44</v>
      </c>
      <c r="B4" s="13" t="str">
        <f t="shared" si="0"/>
        <v>USDKRW BGN Curncy</v>
      </c>
    </row>
    <row r="5" spans="1:2" x14ac:dyDescent="0.25">
      <c r="A5" s="8" t="s">
        <v>43</v>
      </c>
      <c r="B5" s="13" t="str">
        <f t="shared" si="0"/>
        <v>USDPHP BGN Curncy</v>
      </c>
    </row>
    <row r="6" spans="1:2" x14ac:dyDescent="0.25">
      <c r="A6" s="8" t="s">
        <v>41</v>
      </c>
      <c r="B6" s="13" t="str">
        <f t="shared" si="0"/>
        <v>USDTWD BGN Curncy</v>
      </c>
    </row>
    <row r="7" spans="1:2" x14ac:dyDescent="0.25">
      <c r="A7" s="8" t="s">
        <v>47</v>
      </c>
      <c r="B7" s="13" t="str">
        <f t="shared" si="0"/>
        <v>USDCNH BGN Curncy</v>
      </c>
    </row>
    <row r="8" spans="1:2" x14ac:dyDescent="0.25">
      <c r="A8" s="8" t="s">
        <v>55</v>
      </c>
      <c r="B8" s="13" t="str">
        <f t="shared" si="0"/>
        <v>USDSGD BGN Curncy</v>
      </c>
    </row>
    <row r="9" spans="1:2" x14ac:dyDescent="0.25">
      <c r="A9" s="8" t="s">
        <v>56</v>
      </c>
      <c r="B9" s="13" t="str">
        <f t="shared" si="0"/>
        <v>USDHKD BGN Curncy</v>
      </c>
    </row>
    <row r="10" spans="1:2" x14ac:dyDescent="0.25">
      <c r="A10" s="8" t="s">
        <v>46</v>
      </c>
      <c r="B10" s="13" t="str">
        <f t="shared" si="0"/>
        <v>USDTHB BGN Curncy</v>
      </c>
    </row>
    <row r="11" spans="1:2" x14ac:dyDescent="0.25">
      <c r="A11" s="8" t="s">
        <v>48</v>
      </c>
      <c r="B11" s="13" t="str">
        <f t="shared" si="0"/>
        <v>EURUSD BGN Curncy</v>
      </c>
    </row>
    <row r="12" spans="1:2" x14ac:dyDescent="0.25">
      <c r="A12" s="8" t="s">
        <v>49</v>
      </c>
      <c r="B12" s="13" t="str">
        <f t="shared" si="0"/>
        <v>AUDUSD BGN Curncy</v>
      </c>
    </row>
    <row r="13" spans="1:2" x14ac:dyDescent="0.25">
      <c r="A13" s="8" t="s">
        <v>50</v>
      </c>
      <c r="B13" s="13" t="str">
        <f t="shared" si="0"/>
        <v>NZDUSD BGN Curncy</v>
      </c>
    </row>
    <row r="14" spans="1:2" x14ac:dyDescent="0.25">
      <c r="A14" s="8" t="s">
        <v>51</v>
      </c>
      <c r="B14" s="13" t="str">
        <f t="shared" si="0"/>
        <v>GBPUSD BGN Curncy</v>
      </c>
    </row>
    <row r="15" spans="1:2" x14ac:dyDescent="0.25">
      <c r="A15" s="8" t="s">
        <v>52</v>
      </c>
      <c r="B15" s="13" t="str">
        <f t="shared" si="0"/>
        <v>USDJPY BGN Curncy</v>
      </c>
    </row>
    <row r="16" spans="1:2" x14ac:dyDescent="0.25">
      <c r="A16" s="8" t="s">
        <v>54</v>
      </c>
      <c r="B16" s="13" t="str">
        <f t="shared" si="0"/>
        <v>USDCHF BGN Curncy</v>
      </c>
    </row>
    <row r="17" spans="1:2" x14ac:dyDescent="0.25">
      <c r="A17" s="8" t="s">
        <v>53</v>
      </c>
      <c r="B17" s="13" t="str">
        <f t="shared" si="0"/>
        <v>USDCAD BGN Curncy</v>
      </c>
    </row>
    <row r="18" spans="1:2" x14ac:dyDescent="0.25">
      <c r="A18" s="8" t="s">
        <v>71</v>
      </c>
      <c r="B18" s="13" t="str">
        <f t="shared" si="0"/>
        <v>EURAUD BGN Curncy</v>
      </c>
    </row>
    <row r="19" spans="1:2" x14ac:dyDescent="0.25">
      <c r="A19" s="8" t="s">
        <v>72</v>
      </c>
      <c r="B19" s="13" t="str">
        <f t="shared" si="0"/>
        <v>GBPAUD BGN Curncy</v>
      </c>
    </row>
    <row r="20" spans="1:2" x14ac:dyDescent="0.25">
      <c r="A20" s="8" t="s">
        <v>73</v>
      </c>
      <c r="B20" s="13" t="str">
        <f t="shared" si="0"/>
        <v>AUDNZD BGN Curncy</v>
      </c>
    </row>
    <row r="21" spans="1:2" x14ac:dyDescent="0.25">
      <c r="A21" s="8" t="s">
        <v>74</v>
      </c>
      <c r="B21" s="13" t="str">
        <f t="shared" si="0"/>
        <v>AUDJPY BGN Curncy</v>
      </c>
    </row>
    <row r="22" spans="1:2" x14ac:dyDescent="0.25">
      <c r="A22" s="8" t="s">
        <v>75</v>
      </c>
      <c r="B22" s="13" t="str">
        <f t="shared" si="0"/>
        <v>AUDCAD BGN Curncy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5E3AF-1E5B-421F-8F70-8CD1788008E6}">
  <dimension ref="A1:B17"/>
  <sheetViews>
    <sheetView workbookViewId="0">
      <selection activeCell="D20" sqref="D20"/>
    </sheetView>
  </sheetViews>
  <sheetFormatPr defaultRowHeight="15" x14ac:dyDescent="0.25"/>
  <cols>
    <col min="1" max="1" width="9.42578125" bestFit="1" customWidth="1"/>
    <col min="2" max="2" width="17" bestFit="1" customWidth="1"/>
  </cols>
  <sheetData>
    <row r="1" spans="1:2" x14ac:dyDescent="0.25">
      <c r="A1" s="3" t="s">
        <v>57</v>
      </c>
      <c r="B1" s="3" t="s">
        <v>64</v>
      </c>
    </row>
    <row r="2" spans="1:2" x14ac:dyDescent="0.25">
      <c r="A2" s="8" t="s">
        <v>45</v>
      </c>
      <c r="B2" s="13" t="s">
        <v>65</v>
      </c>
    </row>
    <row r="3" spans="1:2" x14ac:dyDescent="0.25">
      <c r="A3" s="8" t="s">
        <v>42</v>
      </c>
      <c r="B3" s="13" t="s">
        <v>66</v>
      </c>
    </row>
    <row r="4" spans="1:2" x14ac:dyDescent="0.25">
      <c r="A4" s="8" t="s">
        <v>40</v>
      </c>
      <c r="B4" s="13" t="s">
        <v>67</v>
      </c>
    </row>
    <row r="5" spans="1:2" x14ac:dyDescent="0.25">
      <c r="A5" s="8" t="s">
        <v>44</v>
      </c>
      <c r="B5" s="13" t="s">
        <v>68</v>
      </c>
    </row>
    <row r="6" spans="1:2" x14ac:dyDescent="0.25">
      <c r="A6" s="8" t="s">
        <v>43</v>
      </c>
      <c r="B6" s="13" t="s">
        <v>69</v>
      </c>
    </row>
    <row r="7" spans="1:2" x14ac:dyDescent="0.25">
      <c r="A7" s="8" t="s">
        <v>41</v>
      </c>
      <c r="B7" s="13" t="s">
        <v>70</v>
      </c>
    </row>
    <row r="8" spans="1:2" x14ac:dyDescent="0.25">
      <c r="A8" s="9"/>
      <c r="B8" s="9"/>
    </row>
    <row r="9" spans="1:2" x14ac:dyDescent="0.25">
      <c r="A9" s="9"/>
      <c r="B9" s="9"/>
    </row>
    <row r="10" spans="1:2" x14ac:dyDescent="0.25">
      <c r="A10" s="9"/>
      <c r="B10" s="9"/>
    </row>
    <row r="11" spans="1:2" x14ac:dyDescent="0.25">
      <c r="A11" s="9"/>
      <c r="B11" s="9"/>
    </row>
    <row r="12" spans="1:2" x14ac:dyDescent="0.25">
      <c r="A12" s="9"/>
      <c r="B12" s="9"/>
    </row>
    <row r="13" spans="1:2" x14ac:dyDescent="0.25">
      <c r="A13" s="9"/>
      <c r="B13" s="9"/>
    </row>
    <row r="14" spans="1:2" x14ac:dyDescent="0.25">
      <c r="A14" s="9"/>
      <c r="B14" s="9"/>
    </row>
    <row r="15" spans="1:2" x14ac:dyDescent="0.25">
      <c r="A15" s="9"/>
      <c r="B15" s="9"/>
    </row>
    <row r="16" spans="1:2" x14ac:dyDescent="0.25">
      <c r="A16" s="9"/>
      <c r="B16" s="9"/>
    </row>
    <row r="17" spans="1:2" x14ac:dyDescent="0.25">
      <c r="A17" s="9"/>
      <c r="B17" s="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66CBE-E92D-4279-9F32-DD334381714D}">
  <dimension ref="A1:C154"/>
  <sheetViews>
    <sheetView workbookViewId="0">
      <selection activeCell="C17" sqref="C17"/>
    </sheetView>
  </sheetViews>
  <sheetFormatPr defaultRowHeight="15" x14ac:dyDescent="0.25"/>
  <cols>
    <col min="1" max="1" width="9.42578125" bestFit="1" customWidth="1"/>
    <col min="2" max="2" width="7.140625" bestFit="1" customWidth="1"/>
    <col min="3" max="3" width="20.85546875" bestFit="1" customWidth="1"/>
  </cols>
  <sheetData>
    <row r="1" spans="1:3" x14ac:dyDescent="0.25">
      <c r="A1" s="3" t="s">
        <v>57</v>
      </c>
      <c r="B1" s="3" t="s">
        <v>63</v>
      </c>
      <c r="C1" s="3" t="s">
        <v>64</v>
      </c>
    </row>
    <row r="2" spans="1:3" x14ac:dyDescent="0.25">
      <c r="A2" s="14" t="s">
        <v>39</v>
      </c>
      <c r="B2" s="14" t="s">
        <v>0</v>
      </c>
      <c r="C2" s="14" t="s">
        <v>77</v>
      </c>
    </row>
    <row r="3" spans="1:3" x14ac:dyDescent="0.25">
      <c r="A3" s="14" t="s">
        <v>39</v>
      </c>
      <c r="B3" s="14" t="s">
        <v>2</v>
      </c>
      <c r="C3" s="14" t="s">
        <v>78</v>
      </c>
    </row>
    <row r="4" spans="1:3" x14ac:dyDescent="0.25">
      <c r="A4" s="14" t="s">
        <v>39</v>
      </c>
      <c r="B4" s="14" t="s">
        <v>3</v>
      </c>
      <c r="C4" s="14" t="s">
        <v>79</v>
      </c>
    </row>
    <row r="5" spans="1:3" x14ac:dyDescent="0.25">
      <c r="A5" s="14" t="s">
        <v>39</v>
      </c>
      <c r="B5" s="14" t="s">
        <v>4</v>
      </c>
      <c r="C5" s="14" t="s">
        <v>80</v>
      </c>
    </row>
    <row r="6" spans="1:3" x14ac:dyDescent="0.25">
      <c r="A6" s="14" t="s">
        <v>39</v>
      </c>
      <c r="B6" s="14" t="s">
        <v>5</v>
      </c>
      <c r="C6" s="14" t="s">
        <v>81</v>
      </c>
    </row>
    <row r="7" spans="1:3" x14ac:dyDescent="0.25">
      <c r="A7" s="14" t="s">
        <v>39</v>
      </c>
      <c r="B7" s="14" t="s">
        <v>6</v>
      </c>
      <c r="C7" s="14" t="s">
        <v>82</v>
      </c>
    </row>
    <row r="8" spans="1:3" x14ac:dyDescent="0.25">
      <c r="A8" s="14" t="s">
        <v>39</v>
      </c>
      <c r="B8" s="14" t="s">
        <v>34</v>
      </c>
      <c r="C8" s="14" t="s">
        <v>83</v>
      </c>
    </row>
    <row r="9" spans="1:3" x14ac:dyDescent="0.25">
      <c r="A9" s="14" t="s">
        <v>39</v>
      </c>
      <c r="B9" s="14" t="s">
        <v>35</v>
      </c>
      <c r="C9" s="14" t="s">
        <v>84</v>
      </c>
    </row>
    <row r="10" spans="1:3" x14ac:dyDescent="0.25">
      <c r="A10" s="8" t="s">
        <v>40</v>
      </c>
      <c r="B10" s="8" t="s">
        <v>0</v>
      </c>
      <c r="C10" s="8" t="s">
        <v>85</v>
      </c>
    </row>
    <row r="11" spans="1:3" x14ac:dyDescent="0.25">
      <c r="A11" s="8" t="s">
        <v>40</v>
      </c>
      <c r="B11" s="8" t="s">
        <v>2</v>
      </c>
      <c r="C11" s="8" t="s">
        <v>86</v>
      </c>
    </row>
    <row r="12" spans="1:3" x14ac:dyDescent="0.25">
      <c r="A12" s="8" t="s">
        <v>40</v>
      </c>
      <c r="B12" s="8" t="s">
        <v>3</v>
      </c>
      <c r="C12" s="8" t="s">
        <v>87</v>
      </c>
    </row>
    <row r="13" spans="1:3" x14ac:dyDescent="0.25">
      <c r="A13" s="8" t="s">
        <v>40</v>
      </c>
      <c r="B13" s="8" t="s">
        <v>4</v>
      </c>
      <c r="C13" s="8" t="s">
        <v>88</v>
      </c>
    </row>
    <row r="14" spans="1:3" x14ac:dyDescent="0.25">
      <c r="A14" s="8" t="s">
        <v>40</v>
      </c>
      <c r="B14" s="8" t="s">
        <v>5</v>
      </c>
      <c r="C14" s="8" t="s">
        <v>89</v>
      </c>
    </row>
    <row r="15" spans="1:3" x14ac:dyDescent="0.25">
      <c r="A15" s="8" t="s">
        <v>40</v>
      </c>
      <c r="B15" s="8" t="s">
        <v>6</v>
      </c>
      <c r="C15" s="8" t="s">
        <v>90</v>
      </c>
    </row>
    <row r="16" spans="1:3" x14ac:dyDescent="0.25">
      <c r="A16" s="8" t="s">
        <v>40</v>
      </c>
      <c r="B16" s="8" t="s">
        <v>34</v>
      </c>
      <c r="C16" s="8" t="s">
        <v>91</v>
      </c>
    </row>
    <row r="17" spans="1:3" x14ac:dyDescent="0.25">
      <c r="A17" s="8" t="s">
        <v>40</v>
      </c>
      <c r="B17" s="8" t="s">
        <v>35</v>
      </c>
      <c r="C17" s="8" t="s">
        <v>92</v>
      </c>
    </row>
    <row r="18" spans="1:3" x14ac:dyDescent="0.25">
      <c r="A18" s="14" t="s">
        <v>41</v>
      </c>
      <c r="B18" s="14" t="s">
        <v>0</v>
      </c>
      <c r="C18" s="14" t="s">
        <v>93</v>
      </c>
    </row>
    <row r="19" spans="1:3" x14ac:dyDescent="0.25">
      <c r="A19" s="14" t="s">
        <v>41</v>
      </c>
      <c r="B19" s="14" t="s">
        <v>2</v>
      </c>
      <c r="C19" s="14" t="s">
        <v>94</v>
      </c>
    </row>
    <row r="20" spans="1:3" x14ac:dyDescent="0.25">
      <c r="A20" s="14" t="s">
        <v>41</v>
      </c>
      <c r="B20" s="14" t="s">
        <v>3</v>
      </c>
      <c r="C20" s="14" t="s">
        <v>95</v>
      </c>
    </row>
    <row r="21" spans="1:3" x14ac:dyDescent="0.25">
      <c r="A21" s="14" t="s">
        <v>41</v>
      </c>
      <c r="B21" s="14" t="s">
        <v>4</v>
      </c>
      <c r="C21" s="14" t="s">
        <v>96</v>
      </c>
    </row>
    <row r="22" spans="1:3" x14ac:dyDescent="0.25">
      <c r="A22" s="14" t="s">
        <v>41</v>
      </c>
      <c r="B22" s="14" t="s">
        <v>5</v>
      </c>
      <c r="C22" s="14" t="s">
        <v>97</v>
      </c>
    </row>
    <row r="23" spans="1:3" x14ac:dyDescent="0.25">
      <c r="A23" s="14" t="s">
        <v>41</v>
      </c>
      <c r="B23" s="14" t="s">
        <v>6</v>
      </c>
      <c r="C23" s="14" t="s">
        <v>98</v>
      </c>
    </row>
    <row r="24" spans="1:3" x14ac:dyDescent="0.25">
      <c r="A24" s="14" t="s">
        <v>41</v>
      </c>
      <c r="B24" s="14" t="s">
        <v>34</v>
      </c>
      <c r="C24" s="14" t="s">
        <v>99</v>
      </c>
    </row>
    <row r="25" spans="1:3" x14ac:dyDescent="0.25">
      <c r="A25" s="14" t="s">
        <v>41</v>
      </c>
      <c r="B25" s="14" t="s">
        <v>35</v>
      </c>
      <c r="C25" s="14" t="s">
        <v>100</v>
      </c>
    </row>
    <row r="26" spans="1:3" x14ac:dyDescent="0.25">
      <c r="A26" s="8" t="s">
        <v>42</v>
      </c>
      <c r="B26" s="8" t="s">
        <v>0</v>
      </c>
      <c r="C26" s="8" t="s">
        <v>101</v>
      </c>
    </row>
    <row r="27" spans="1:3" x14ac:dyDescent="0.25">
      <c r="A27" s="8" t="s">
        <v>42</v>
      </c>
      <c r="B27" s="8" t="s">
        <v>2</v>
      </c>
      <c r="C27" s="8" t="s">
        <v>102</v>
      </c>
    </row>
    <row r="28" spans="1:3" x14ac:dyDescent="0.25">
      <c r="A28" s="8" t="s">
        <v>42</v>
      </c>
      <c r="B28" s="8" t="s">
        <v>3</v>
      </c>
      <c r="C28" s="8" t="s">
        <v>103</v>
      </c>
    </row>
    <row r="29" spans="1:3" x14ac:dyDescent="0.25">
      <c r="A29" s="8" t="s">
        <v>42</v>
      </c>
      <c r="B29" s="8" t="s">
        <v>4</v>
      </c>
      <c r="C29" s="8" t="s">
        <v>104</v>
      </c>
    </row>
    <row r="30" spans="1:3" x14ac:dyDescent="0.25">
      <c r="A30" s="8" t="s">
        <v>42</v>
      </c>
      <c r="B30" s="8" t="s">
        <v>5</v>
      </c>
      <c r="C30" s="8" t="s">
        <v>105</v>
      </c>
    </row>
    <row r="31" spans="1:3" x14ac:dyDescent="0.25">
      <c r="A31" s="8" t="s">
        <v>42</v>
      </c>
      <c r="B31" s="8" t="s">
        <v>6</v>
      </c>
      <c r="C31" s="8" t="s">
        <v>106</v>
      </c>
    </row>
    <row r="32" spans="1:3" x14ac:dyDescent="0.25">
      <c r="A32" s="8" t="s">
        <v>42</v>
      </c>
      <c r="B32" s="8" t="s">
        <v>34</v>
      </c>
      <c r="C32" s="8" t="s">
        <v>107</v>
      </c>
    </row>
    <row r="33" spans="1:3" x14ac:dyDescent="0.25">
      <c r="A33" s="8" t="s">
        <v>42</v>
      </c>
      <c r="B33" s="8" t="s">
        <v>35</v>
      </c>
      <c r="C33" s="8" t="s">
        <v>108</v>
      </c>
    </row>
    <row r="34" spans="1:3" x14ac:dyDescent="0.25">
      <c r="A34" s="14" t="s">
        <v>43</v>
      </c>
      <c r="B34" s="14" t="s">
        <v>0</v>
      </c>
      <c r="C34" s="14" t="s">
        <v>109</v>
      </c>
    </row>
    <row r="35" spans="1:3" x14ac:dyDescent="0.25">
      <c r="A35" s="14" t="s">
        <v>43</v>
      </c>
      <c r="B35" s="14" t="s">
        <v>2</v>
      </c>
      <c r="C35" s="14" t="s">
        <v>110</v>
      </c>
    </row>
    <row r="36" spans="1:3" x14ac:dyDescent="0.25">
      <c r="A36" s="14" t="s">
        <v>43</v>
      </c>
      <c r="B36" s="14" t="s">
        <v>3</v>
      </c>
      <c r="C36" s="14" t="s">
        <v>111</v>
      </c>
    </row>
    <row r="37" spans="1:3" x14ac:dyDescent="0.25">
      <c r="A37" s="14" t="s">
        <v>43</v>
      </c>
      <c r="B37" s="14" t="s">
        <v>4</v>
      </c>
      <c r="C37" s="14" t="s">
        <v>112</v>
      </c>
    </row>
    <row r="38" spans="1:3" x14ac:dyDescent="0.25">
      <c r="A38" s="14" t="s">
        <v>43</v>
      </c>
      <c r="B38" s="14" t="s">
        <v>5</v>
      </c>
      <c r="C38" s="14" t="s">
        <v>113</v>
      </c>
    </row>
    <row r="39" spans="1:3" x14ac:dyDescent="0.25">
      <c r="A39" s="14" t="s">
        <v>43</v>
      </c>
      <c r="B39" s="14" t="s">
        <v>6</v>
      </c>
      <c r="C39" s="14" t="s">
        <v>114</v>
      </c>
    </row>
    <row r="40" spans="1:3" x14ac:dyDescent="0.25">
      <c r="A40" s="14" t="s">
        <v>43</v>
      </c>
      <c r="B40" s="14" t="s">
        <v>34</v>
      </c>
      <c r="C40" s="14" t="s">
        <v>115</v>
      </c>
    </row>
    <row r="41" spans="1:3" x14ac:dyDescent="0.25">
      <c r="A41" s="14" t="s">
        <v>43</v>
      </c>
      <c r="B41" s="14" t="s">
        <v>35</v>
      </c>
      <c r="C41" s="14" t="s">
        <v>116</v>
      </c>
    </row>
    <row r="42" spans="1:3" x14ac:dyDescent="0.25">
      <c r="A42" s="8" t="s">
        <v>44</v>
      </c>
      <c r="B42" s="8" t="s">
        <v>0</v>
      </c>
      <c r="C42" s="8" t="s">
        <v>117</v>
      </c>
    </row>
    <row r="43" spans="1:3" x14ac:dyDescent="0.25">
      <c r="A43" s="8" t="s">
        <v>44</v>
      </c>
      <c r="B43" s="8" t="s">
        <v>2</v>
      </c>
      <c r="C43" s="8" t="s">
        <v>118</v>
      </c>
    </row>
    <row r="44" spans="1:3" x14ac:dyDescent="0.25">
      <c r="A44" s="8" t="s">
        <v>44</v>
      </c>
      <c r="B44" s="8" t="s">
        <v>3</v>
      </c>
      <c r="C44" s="8" t="s">
        <v>119</v>
      </c>
    </row>
    <row r="45" spans="1:3" x14ac:dyDescent="0.25">
      <c r="A45" s="8" t="s">
        <v>44</v>
      </c>
      <c r="B45" s="8" t="s">
        <v>4</v>
      </c>
      <c r="C45" s="8" t="s">
        <v>120</v>
      </c>
    </row>
    <row r="46" spans="1:3" x14ac:dyDescent="0.25">
      <c r="A46" s="8" t="s">
        <v>44</v>
      </c>
      <c r="B46" s="8" t="s">
        <v>5</v>
      </c>
      <c r="C46" s="8" t="s">
        <v>121</v>
      </c>
    </row>
    <row r="47" spans="1:3" x14ac:dyDescent="0.25">
      <c r="A47" s="8" t="s">
        <v>44</v>
      </c>
      <c r="B47" s="8" t="s">
        <v>6</v>
      </c>
      <c r="C47" s="8" t="s">
        <v>122</v>
      </c>
    </row>
    <row r="48" spans="1:3" x14ac:dyDescent="0.25">
      <c r="A48" s="8" t="s">
        <v>44</v>
      </c>
      <c r="B48" s="8" t="s">
        <v>34</v>
      </c>
      <c r="C48" s="8" t="s">
        <v>123</v>
      </c>
    </row>
    <row r="49" spans="1:3" x14ac:dyDescent="0.25">
      <c r="A49" s="8" t="s">
        <v>44</v>
      </c>
      <c r="B49" s="8" t="s">
        <v>35</v>
      </c>
      <c r="C49" s="8" t="s">
        <v>124</v>
      </c>
    </row>
    <row r="50" spans="1:3" x14ac:dyDescent="0.25">
      <c r="A50" s="14" t="s">
        <v>45</v>
      </c>
      <c r="B50" s="14" t="s">
        <v>0</v>
      </c>
      <c r="C50" s="14" t="s">
        <v>125</v>
      </c>
    </row>
    <row r="51" spans="1:3" x14ac:dyDescent="0.25">
      <c r="A51" s="14" t="s">
        <v>45</v>
      </c>
      <c r="B51" s="14" t="s">
        <v>2</v>
      </c>
      <c r="C51" s="14" t="s">
        <v>126</v>
      </c>
    </row>
    <row r="52" spans="1:3" x14ac:dyDescent="0.25">
      <c r="A52" s="14" t="s">
        <v>45</v>
      </c>
      <c r="B52" s="14" t="s">
        <v>3</v>
      </c>
      <c r="C52" s="14" t="s">
        <v>127</v>
      </c>
    </row>
    <row r="53" spans="1:3" x14ac:dyDescent="0.25">
      <c r="A53" s="14" t="s">
        <v>45</v>
      </c>
      <c r="B53" s="14" t="s">
        <v>4</v>
      </c>
      <c r="C53" s="14" t="s">
        <v>128</v>
      </c>
    </row>
    <row r="54" spans="1:3" x14ac:dyDescent="0.25">
      <c r="A54" s="14" t="s">
        <v>45</v>
      </c>
      <c r="B54" s="14" t="s">
        <v>5</v>
      </c>
      <c r="C54" s="14" t="s">
        <v>129</v>
      </c>
    </row>
    <row r="55" spans="1:3" x14ac:dyDescent="0.25">
      <c r="A55" s="14" t="s">
        <v>45</v>
      </c>
      <c r="B55" s="14" t="s">
        <v>6</v>
      </c>
      <c r="C55" s="14" t="s">
        <v>130</v>
      </c>
    </row>
    <row r="56" spans="1:3" x14ac:dyDescent="0.25">
      <c r="A56" s="14" t="s">
        <v>45</v>
      </c>
      <c r="B56" s="14" t="s">
        <v>34</v>
      </c>
      <c r="C56" s="14" t="s">
        <v>131</v>
      </c>
    </row>
    <row r="57" spans="1:3" x14ac:dyDescent="0.25">
      <c r="A57" s="14" t="s">
        <v>45</v>
      </c>
      <c r="B57" s="14" t="s">
        <v>35</v>
      </c>
      <c r="C57" s="14" t="s">
        <v>132</v>
      </c>
    </row>
    <row r="58" spans="1:3" x14ac:dyDescent="0.25">
      <c r="A58" s="8" t="s">
        <v>46</v>
      </c>
      <c r="B58" s="8" t="s">
        <v>0</v>
      </c>
      <c r="C58" s="8" t="s">
        <v>133</v>
      </c>
    </row>
    <row r="59" spans="1:3" x14ac:dyDescent="0.25">
      <c r="A59" s="8" t="s">
        <v>46</v>
      </c>
      <c r="B59" s="8" t="s">
        <v>2</v>
      </c>
      <c r="C59" s="8" t="s">
        <v>134</v>
      </c>
    </row>
    <row r="60" spans="1:3" x14ac:dyDescent="0.25">
      <c r="A60" s="8" t="s">
        <v>46</v>
      </c>
      <c r="B60" s="8" t="s">
        <v>3</v>
      </c>
      <c r="C60" s="8" t="s">
        <v>135</v>
      </c>
    </row>
    <row r="61" spans="1:3" x14ac:dyDescent="0.25">
      <c r="A61" s="8" t="s">
        <v>46</v>
      </c>
      <c r="B61" s="8" t="s">
        <v>4</v>
      </c>
      <c r="C61" s="8" t="s">
        <v>136</v>
      </c>
    </row>
    <row r="62" spans="1:3" x14ac:dyDescent="0.25">
      <c r="A62" s="8" t="s">
        <v>46</v>
      </c>
      <c r="B62" s="8" t="s">
        <v>5</v>
      </c>
      <c r="C62" s="8" t="s">
        <v>137</v>
      </c>
    </row>
    <row r="63" spans="1:3" x14ac:dyDescent="0.25">
      <c r="A63" s="8" t="s">
        <v>46</v>
      </c>
      <c r="B63" s="8" t="s">
        <v>6</v>
      </c>
      <c r="C63" s="8" t="s">
        <v>138</v>
      </c>
    </row>
    <row r="64" spans="1:3" x14ac:dyDescent="0.25">
      <c r="A64" s="8" t="s">
        <v>46</v>
      </c>
      <c r="B64" s="8" t="s">
        <v>34</v>
      </c>
      <c r="C64" s="8" t="s">
        <v>139</v>
      </c>
    </row>
    <row r="65" spans="1:3" x14ac:dyDescent="0.25">
      <c r="A65" s="8" t="s">
        <v>46</v>
      </c>
      <c r="B65" s="8" t="s">
        <v>35</v>
      </c>
      <c r="C65" s="8" t="s">
        <v>140</v>
      </c>
    </row>
    <row r="66" spans="1:3" x14ac:dyDescent="0.25">
      <c r="A66" s="14" t="s">
        <v>47</v>
      </c>
      <c r="B66" s="14" t="s">
        <v>0</v>
      </c>
      <c r="C66" s="14" t="s">
        <v>141</v>
      </c>
    </row>
    <row r="67" spans="1:3" x14ac:dyDescent="0.25">
      <c r="A67" s="14" t="s">
        <v>47</v>
      </c>
      <c r="B67" s="14" t="s">
        <v>2</v>
      </c>
      <c r="C67" s="14" t="s">
        <v>142</v>
      </c>
    </row>
    <row r="68" spans="1:3" x14ac:dyDescent="0.25">
      <c r="A68" s="14" t="s">
        <v>47</v>
      </c>
      <c r="B68" s="14" t="s">
        <v>3</v>
      </c>
      <c r="C68" s="14" t="s">
        <v>143</v>
      </c>
    </row>
    <row r="69" spans="1:3" x14ac:dyDescent="0.25">
      <c r="A69" s="14" t="s">
        <v>47</v>
      </c>
      <c r="B69" s="14" t="s">
        <v>4</v>
      </c>
      <c r="C69" s="14" t="s">
        <v>144</v>
      </c>
    </row>
    <row r="70" spans="1:3" x14ac:dyDescent="0.25">
      <c r="A70" s="14" t="s">
        <v>47</v>
      </c>
      <c r="B70" s="14" t="s">
        <v>5</v>
      </c>
      <c r="C70" s="14" t="s">
        <v>145</v>
      </c>
    </row>
    <row r="71" spans="1:3" x14ac:dyDescent="0.25">
      <c r="A71" s="14" t="s">
        <v>47</v>
      </c>
      <c r="B71" s="14" t="s">
        <v>6</v>
      </c>
      <c r="C71" s="14" t="s">
        <v>146</v>
      </c>
    </row>
    <row r="72" spans="1:3" x14ac:dyDescent="0.25">
      <c r="A72" s="14" t="s">
        <v>47</v>
      </c>
      <c r="B72" s="14" t="s">
        <v>34</v>
      </c>
      <c r="C72" s="14" t="s">
        <v>147</v>
      </c>
    </row>
    <row r="73" spans="1:3" x14ac:dyDescent="0.25">
      <c r="A73" s="14" t="s">
        <v>47</v>
      </c>
      <c r="B73" s="14" t="s">
        <v>35</v>
      </c>
      <c r="C73" s="14" t="s">
        <v>148</v>
      </c>
    </row>
    <row r="74" spans="1:3" x14ac:dyDescent="0.25">
      <c r="A74" s="8" t="s">
        <v>48</v>
      </c>
      <c r="B74" s="8" t="s">
        <v>149</v>
      </c>
      <c r="C74" s="8" t="s">
        <v>150</v>
      </c>
    </row>
    <row r="75" spans="1:3" x14ac:dyDescent="0.25">
      <c r="A75" s="8" t="s">
        <v>48</v>
      </c>
      <c r="B75" s="8" t="s">
        <v>0</v>
      </c>
      <c r="C75" s="8" t="s">
        <v>151</v>
      </c>
    </row>
    <row r="76" spans="1:3" x14ac:dyDescent="0.25">
      <c r="A76" s="8" t="s">
        <v>48</v>
      </c>
      <c r="B76" s="8" t="s">
        <v>2</v>
      </c>
      <c r="C76" s="8" t="s">
        <v>152</v>
      </c>
    </row>
    <row r="77" spans="1:3" x14ac:dyDescent="0.25">
      <c r="A77" s="8" t="s">
        <v>48</v>
      </c>
      <c r="B77" s="8" t="s">
        <v>3</v>
      </c>
      <c r="C77" s="8" t="s">
        <v>153</v>
      </c>
    </row>
    <row r="78" spans="1:3" x14ac:dyDescent="0.25">
      <c r="A78" s="8" t="s">
        <v>48</v>
      </c>
      <c r="B78" s="8" t="s">
        <v>4</v>
      </c>
      <c r="C78" s="8" t="s">
        <v>154</v>
      </c>
    </row>
    <row r="79" spans="1:3" x14ac:dyDescent="0.25">
      <c r="A79" s="8" t="s">
        <v>48</v>
      </c>
      <c r="B79" s="8" t="s">
        <v>5</v>
      </c>
      <c r="C79" s="8" t="s">
        <v>155</v>
      </c>
    </row>
    <row r="80" spans="1:3" x14ac:dyDescent="0.25">
      <c r="A80" s="8" t="s">
        <v>48</v>
      </c>
      <c r="B80" s="8" t="s">
        <v>6</v>
      </c>
      <c r="C80" s="8" t="s">
        <v>156</v>
      </c>
    </row>
    <row r="81" spans="1:3" x14ac:dyDescent="0.25">
      <c r="A81" s="8" t="s">
        <v>48</v>
      </c>
      <c r="B81" s="8" t="s">
        <v>34</v>
      </c>
      <c r="C81" s="8" t="s">
        <v>157</v>
      </c>
    </row>
    <row r="82" spans="1:3" x14ac:dyDescent="0.25">
      <c r="A82" s="8" t="s">
        <v>48</v>
      </c>
      <c r="B82" s="8" t="s">
        <v>35</v>
      </c>
      <c r="C82" s="8" t="s">
        <v>158</v>
      </c>
    </row>
    <row r="83" spans="1:3" x14ac:dyDescent="0.25">
      <c r="A83" s="14" t="s">
        <v>49</v>
      </c>
      <c r="B83" s="14" t="s">
        <v>149</v>
      </c>
      <c r="C83" s="14" t="s">
        <v>159</v>
      </c>
    </row>
    <row r="84" spans="1:3" x14ac:dyDescent="0.25">
      <c r="A84" s="14" t="s">
        <v>49</v>
      </c>
      <c r="B84" s="14" t="s">
        <v>0</v>
      </c>
      <c r="C84" s="14" t="s">
        <v>160</v>
      </c>
    </row>
    <row r="85" spans="1:3" x14ac:dyDescent="0.25">
      <c r="A85" s="14" t="s">
        <v>49</v>
      </c>
      <c r="B85" s="14" t="s">
        <v>2</v>
      </c>
      <c r="C85" s="14" t="s">
        <v>161</v>
      </c>
    </row>
    <row r="86" spans="1:3" x14ac:dyDescent="0.25">
      <c r="A86" s="14" t="s">
        <v>49</v>
      </c>
      <c r="B86" s="14" t="s">
        <v>3</v>
      </c>
      <c r="C86" s="14" t="s">
        <v>162</v>
      </c>
    </row>
    <row r="87" spans="1:3" x14ac:dyDescent="0.25">
      <c r="A87" s="14" t="s">
        <v>49</v>
      </c>
      <c r="B87" s="14" t="s">
        <v>4</v>
      </c>
      <c r="C87" s="14" t="s">
        <v>163</v>
      </c>
    </row>
    <row r="88" spans="1:3" x14ac:dyDescent="0.25">
      <c r="A88" s="14" t="s">
        <v>49</v>
      </c>
      <c r="B88" s="14" t="s">
        <v>5</v>
      </c>
      <c r="C88" s="14" t="s">
        <v>164</v>
      </c>
    </row>
    <row r="89" spans="1:3" x14ac:dyDescent="0.25">
      <c r="A89" s="14" t="s">
        <v>49</v>
      </c>
      <c r="B89" s="14" t="s">
        <v>6</v>
      </c>
      <c r="C89" s="14" t="s">
        <v>165</v>
      </c>
    </row>
    <row r="90" spans="1:3" x14ac:dyDescent="0.25">
      <c r="A90" s="14" t="s">
        <v>49</v>
      </c>
      <c r="B90" s="14" t="s">
        <v>34</v>
      </c>
      <c r="C90" s="14" t="s">
        <v>166</v>
      </c>
    </row>
    <row r="91" spans="1:3" x14ac:dyDescent="0.25">
      <c r="A91" s="14" t="s">
        <v>49</v>
      </c>
      <c r="B91" s="14" t="s">
        <v>35</v>
      </c>
      <c r="C91" s="14" t="s">
        <v>167</v>
      </c>
    </row>
    <row r="92" spans="1:3" x14ac:dyDescent="0.25">
      <c r="A92" s="8" t="s">
        <v>50</v>
      </c>
      <c r="B92" s="8" t="s">
        <v>149</v>
      </c>
      <c r="C92" s="8" t="s">
        <v>168</v>
      </c>
    </row>
    <row r="93" spans="1:3" x14ac:dyDescent="0.25">
      <c r="A93" s="8" t="s">
        <v>50</v>
      </c>
      <c r="B93" s="8" t="s">
        <v>0</v>
      </c>
      <c r="C93" s="8" t="s">
        <v>169</v>
      </c>
    </row>
    <row r="94" spans="1:3" x14ac:dyDescent="0.25">
      <c r="A94" s="8" t="s">
        <v>50</v>
      </c>
      <c r="B94" s="8" t="s">
        <v>2</v>
      </c>
      <c r="C94" s="8" t="s">
        <v>170</v>
      </c>
    </row>
    <row r="95" spans="1:3" x14ac:dyDescent="0.25">
      <c r="A95" s="8" t="s">
        <v>50</v>
      </c>
      <c r="B95" s="8" t="s">
        <v>3</v>
      </c>
      <c r="C95" s="8" t="s">
        <v>171</v>
      </c>
    </row>
    <row r="96" spans="1:3" x14ac:dyDescent="0.25">
      <c r="A96" s="8" t="s">
        <v>50</v>
      </c>
      <c r="B96" s="8" t="s">
        <v>4</v>
      </c>
      <c r="C96" s="8" t="s">
        <v>172</v>
      </c>
    </row>
    <row r="97" spans="1:3" x14ac:dyDescent="0.25">
      <c r="A97" s="8" t="s">
        <v>50</v>
      </c>
      <c r="B97" s="8" t="s">
        <v>5</v>
      </c>
      <c r="C97" s="8" t="s">
        <v>173</v>
      </c>
    </row>
    <row r="98" spans="1:3" x14ac:dyDescent="0.25">
      <c r="A98" s="8" t="s">
        <v>50</v>
      </c>
      <c r="B98" s="8" t="s">
        <v>6</v>
      </c>
      <c r="C98" s="8" t="s">
        <v>174</v>
      </c>
    </row>
    <row r="99" spans="1:3" x14ac:dyDescent="0.25">
      <c r="A99" s="8" t="s">
        <v>50</v>
      </c>
      <c r="B99" s="8" t="s">
        <v>34</v>
      </c>
      <c r="C99" s="8" t="s">
        <v>175</v>
      </c>
    </row>
    <row r="100" spans="1:3" x14ac:dyDescent="0.25">
      <c r="A100" s="8" t="s">
        <v>50</v>
      </c>
      <c r="B100" s="8" t="s">
        <v>35</v>
      </c>
      <c r="C100" s="8" t="s">
        <v>176</v>
      </c>
    </row>
    <row r="101" spans="1:3" x14ac:dyDescent="0.25">
      <c r="A101" s="14" t="s">
        <v>51</v>
      </c>
      <c r="B101" s="14" t="s">
        <v>149</v>
      </c>
      <c r="C101" s="14" t="s">
        <v>177</v>
      </c>
    </row>
    <row r="102" spans="1:3" x14ac:dyDescent="0.25">
      <c r="A102" s="14" t="s">
        <v>51</v>
      </c>
      <c r="B102" s="14" t="s">
        <v>0</v>
      </c>
      <c r="C102" s="14" t="s">
        <v>178</v>
      </c>
    </row>
    <row r="103" spans="1:3" x14ac:dyDescent="0.25">
      <c r="A103" s="14" t="s">
        <v>51</v>
      </c>
      <c r="B103" s="14" t="s">
        <v>2</v>
      </c>
      <c r="C103" s="14" t="s">
        <v>179</v>
      </c>
    </row>
    <row r="104" spans="1:3" x14ac:dyDescent="0.25">
      <c r="A104" s="14" t="s">
        <v>51</v>
      </c>
      <c r="B104" s="14" t="s">
        <v>3</v>
      </c>
      <c r="C104" s="14" t="s">
        <v>180</v>
      </c>
    </row>
    <row r="105" spans="1:3" x14ac:dyDescent="0.25">
      <c r="A105" s="14" t="s">
        <v>51</v>
      </c>
      <c r="B105" s="14" t="s">
        <v>4</v>
      </c>
      <c r="C105" s="14" t="s">
        <v>181</v>
      </c>
    </row>
    <row r="106" spans="1:3" x14ac:dyDescent="0.25">
      <c r="A106" s="14" t="s">
        <v>51</v>
      </c>
      <c r="B106" s="14" t="s">
        <v>5</v>
      </c>
      <c r="C106" s="14" t="s">
        <v>182</v>
      </c>
    </row>
    <row r="107" spans="1:3" x14ac:dyDescent="0.25">
      <c r="A107" s="14" t="s">
        <v>51</v>
      </c>
      <c r="B107" s="14" t="s">
        <v>6</v>
      </c>
      <c r="C107" s="14" t="s">
        <v>183</v>
      </c>
    </row>
    <row r="108" spans="1:3" x14ac:dyDescent="0.25">
      <c r="A108" s="14" t="s">
        <v>51</v>
      </c>
      <c r="B108" s="14" t="s">
        <v>34</v>
      </c>
      <c r="C108" s="14" t="s">
        <v>184</v>
      </c>
    </row>
    <row r="109" spans="1:3" x14ac:dyDescent="0.25">
      <c r="A109" s="14" t="s">
        <v>51</v>
      </c>
      <c r="B109" s="14" t="s">
        <v>35</v>
      </c>
      <c r="C109" s="14" t="s">
        <v>185</v>
      </c>
    </row>
    <row r="110" spans="1:3" x14ac:dyDescent="0.25">
      <c r="A110" s="8" t="s">
        <v>52</v>
      </c>
      <c r="B110" s="8" t="s">
        <v>149</v>
      </c>
      <c r="C110" s="8" t="s">
        <v>186</v>
      </c>
    </row>
    <row r="111" spans="1:3" x14ac:dyDescent="0.25">
      <c r="A111" s="8" t="s">
        <v>52</v>
      </c>
      <c r="B111" s="8" t="s">
        <v>0</v>
      </c>
      <c r="C111" s="8" t="s">
        <v>187</v>
      </c>
    </row>
    <row r="112" spans="1:3" x14ac:dyDescent="0.25">
      <c r="A112" s="8" t="s">
        <v>52</v>
      </c>
      <c r="B112" s="8" t="s">
        <v>2</v>
      </c>
      <c r="C112" s="8" t="s">
        <v>188</v>
      </c>
    </row>
    <row r="113" spans="1:3" x14ac:dyDescent="0.25">
      <c r="A113" s="8" t="s">
        <v>52</v>
      </c>
      <c r="B113" s="8" t="s">
        <v>3</v>
      </c>
      <c r="C113" s="8" t="s">
        <v>189</v>
      </c>
    </row>
    <row r="114" spans="1:3" x14ac:dyDescent="0.25">
      <c r="A114" s="8" t="s">
        <v>52</v>
      </c>
      <c r="B114" s="8" t="s">
        <v>4</v>
      </c>
      <c r="C114" s="8" t="s">
        <v>190</v>
      </c>
    </row>
    <row r="115" spans="1:3" x14ac:dyDescent="0.25">
      <c r="A115" s="8" t="s">
        <v>52</v>
      </c>
      <c r="B115" s="8" t="s">
        <v>5</v>
      </c>
      <c r="C115" s="8" t="s">
        <v>191</v>
      </c>
    </row>
    <row r="116" spans="1:3" x14ac:dyDescent="0.25">
      <c r="A116" s="8" t="s">
        <v>52</v>
      </c>
      <c r="B116" s="8" t="s">
        <v>6</v>
      </c>
      <c r="C116" s="8" t="s">
        <v>192</v>
      </c>
    </row>
    <row r="117" spans="1:3" x14ac:dyDescent="0.25">
      <c r="A117" s="8" t="s">
        <v>52</v>
      </c>
      <c r="B117" s="8" t="s">
        <v>34</v>
      </c>
      <c r="C117" s="8" t="s">
        <v>193</v>
      </c>
    </row>
    <row r="118" spans="1:3" x14ac:dyDescent="0.25">
      <c r="A118" s="8" t="s">
        <v>52</v>
      </c>
      <c r="B118" s="8" t="s">
        <v>35</v>
      </c>
      <c r="C118" s="8" t="s">
        <v>194</v>
      </c>
    </row>
    <row r="119" spans="1:3" x14ac:dyDescent="0.25">
      <c r="A119" s="14" t="s">
        <v>53</v>
      </c>
      <c r="B119" s="14" t="s">
        <v>149</v>
      </c>
      <c r="C119" s="14" t="s">
        <v>195</v>
      </c>
    </row>
    <row r="120" spans="1:3" x14ac:dyDescent="0.25">
      <c r="A120" s="14" t="s">
        <v>53</v>
      </c>
      <c r="B120" s="14" t="s">
        <v>0</v>
      </c>
      <c r="C120" s="14" t="s">
        <v>196</v>
      </c>
    </row>
    <row r="121" spans="1:3" x14ac:dyDescent="0.25">
      <c r="A121" s="14" t="s">
        <v>53</v>
      </c>
      <c r="B121" s="14" t="s">
        <v>2</v>
      </c>
      <c r="C121" s="14" t="s">
        <v>197</v>
      </c>
    </row>
    <row r="122" spans="1:3" x14ac:dyDescent="0.25">
      <c r="A122" s="14" t="s">
        <v>53</v>
      </c>
      <c r="B122" s="14" t="s">
        <v>3</v>
      </c>
      <c r="C122" s="14" t="s">
        <v>198</v>
      </c>
    </row>
    <row r="123" spans="1:3" x14ac:dyDescent="0.25">
      <c r="A123" s="14" t="s">
        <v>53</v>
      </c>
      <c r="B123" s="14" t="s">
        <v>4</v>
      </c>
      <c r="C123" s="14" t="s">
        <v>199</v>
      </c>
    </row>
    <row r="124" spans="1:3" x14ac:dyDescent="0.25">
      <c r="A124" s="14" t="s">
        <v>53</v>
      </c>
      <c r="B124" s="14" t="s">
        <v>5</v>
      </c>
      <c r="C124" s="14" t="s">
        <v>200</v>
      </c>
    </row>
    <row r="125" spans="1:3" x14ac:dyDescent="0.25">
      <c r="A125" s="14" t="s">
        <v>53</v>
      </c>
      <c r="B125" s="14" t="s">
        <v>6</v>
      </c>
      <c r="C125" s="14" t="s">
        <v>201</v>
      </c>
    </row>
    <row r="126" spans="1:3" x14ac:dyDescent="0.25">
      <c r="A126" s="14" t="s">
        <v>53</v>
      </c>
      <c r="B126" s="14" t="s">
        <v>34</v>
      </c>
      <c r="C126" s="14" t="s">
        <v>202</v>
      </c>
    </row>
    <row r="127" spans="1:3" x14ac:dyDescent="0.25">
      <c r="A127" s="14" t="s">
        <v>53</v>
      </c>
      <c r="B127" s="14" t="s">
        <v>35</v>
      </c>
      <c r="C127" s="14" t="s">
        <v>203</v>
      </c>
    </row>
    <row r="128" spans="1:3" x14ac:dyDescent="0.25">
      <c r="A128" s="8" t="s">
        <v>54</v>
      </c>
      <c r="B128" s="8" t="s">
        <v>149</v>
      </c>
      <c r="C128" s="8" t="s">
        <v>204</v>
      </c>
    </row>
    <row r="129" spans="1:3" x14ac:dyDescent="0.25">
      <c r="A129" s="8" t="s">
        <v>54</v>
      </c>
      <c r="B129" s="8" t="s">
        <v>0</v>
      </c>
      <c r="C129" s="8" t="s">
        <v>205</v>
      </c>
    </row>
    <row r="130" spans="1:3" x14ac:dyDescent="0.25">
      <c r="A130" s="8" t="s">
        <v>54</v>
      </c>
      <c r="B130" s="8" t="s">
        <v>2</v>
      </c>
      <c r="C130" s="8" t="s">
        <v>206</v>
      </c>
    </row>
    <row r="131" spans="1:3" x14ac:dyDescent="0.25">
      <c r="A131" s="8" t="s">
        <v>54</v>
      </c>
      <c r="B131" s="8" t="s">
        <v>3</v>
      </c>
      <c r="C131" s="8" t="s">
        <v>207</v>
      </c>
    </row>
    <row r="132" spans="1:3" x14ac:dyDescent="0.25">
      <c r="A132" s="8" t="s">
        <v>54</v>
      </c>
      <c r="B132" s="8" t="s">
        <v>4</v>
      </c>
      <c r="C132" s="8" t="s">
        <v>208</v>
      </c>
    </row>
    <row r="133" spans="1:3" x14ac:dyDescent="0.25">
      <c r="A133" s="8" t="s">
        <v>54</v>
      </c>
      <c r="B133" s="8" t="s">
        <v>5</v>
      </c>
      <c r="C133" s="8" t="s">
        <v>209</v>
      </c>
    </row>
    <row r="134" spans="1:3" x14ac:dyDescent="0.25">
      <c r="A134" s="8" t="s">
        <v>54</v>
      </c>
      <c r="B134" s="8" t="s">
        <v>6</v>
      </c>
      <c r="C134" s="8" t="s">
        <v>210</v>
      </c>
    </row>
    <row r="135" spans="1:3" x14ac:dyDescent="0.25">
      <c r="A135" s="8" t="s">
        <v>54</v>
      </c>
      <c r="B135" s="8" t="s">
        <v>34</v>
      </c>
      <c r="C135" s="8" t="s">
        <v>211</v>
      </c>
    </row>
    <row r="136" spans="1:3" x14ac:dyDescent="0.25">
      <c r="A136" s="8" t="s">
        <v>54</v>
      </c>
      <c r="B136" s="8" t="s">
        <v>35</v>
      </c>
      <c r="C136" s="8" t="s">
        <v>212</v>
      </c>
    </row>
    <row r="137" spans="1:3" x14ac:dyDescent="0.25">
      <c r="A137" s="14" t="s">
        <v>55</v>
      </c>
      <c r="B137" s="14" t="s">
        <v>149</v>
      </c>
      <c r="C137" s="14" t="s">
        <v>213</v>
      </c>
    </row>
    <row r="138" spans="1:3" x14ac:dyDescent="0.25">
      <c r="A138" s="14" t="s">
        <v>55</v>
      </c>
      <c r="B138" s="14" t="s">
        <v>0</v>
      </c>
      <c r="C138" s="14" t="s">
        <v>214</v>
      </c>
    </row>
    <row r="139" spans="1:3" x14ac:dyDescent="0.25">
      <c r="A139" s="14" t="s">
        <v>55</v>
      </c>
      <c r="B139" s="14" t="s">
        <v>2</v>
      </c>
      <c r="C139" s="14" t="s">
        <v>215</v>
      </c>
    </row>
    <row r="140" spans="1:3" x14ac:dyDescent="0.25">
      <c r="A140" s="14" t="s">
        <v>55</v>
      </c>
      <c r="B140" s="14" t="s">
        <v>3</v>
      </c>
      <c r="C140" s="14" t="s">
        <v>216</v>
      </c>
    </row>
    <row r="141" spans="1:3" x14ac:dyDescent="0.25">
      <c r="A141" s="14" t="s">
        <v>55</v>
      </c>
      <c r="B141" s="14" t="s">
        <v>4</v>
      </c>
      <c r="C141" s="14" t="s">
        <v>217</v>
      </c>
    </row>
    <row r="142" spans="1:3" x14ac:dyDescent="0.25">
      <c r="A142" s="14" t="s">
        <v>55</v>
      </c>
      <c r="B142" s="14" t="s">
        <v>5</v>
      </c>
      <c r="C142" s="14" t="s">
        <v>218</v>
      </c>
    </row>
    <row r="143" spans="1:3" x14ac:dyDescent="0.25">
      <c r="A143" s="14" t="s">
        <v>55</v>
      </c>
      <c r="B143" s="14" t="s">
        <v>6</v>
      </c>
      <c r="C143" s="14" t="s">
        <v>219</v>
      </c>
    </row>
    <row r="144" spans="1:3" x14ac:dyDescent="0.25">
      <c r="A144" s="14" t="s">
        <v>55</v>
      </c>
      <c r="B144" s="14" t="s">
        <v>34</v>
      </c>
      <c r="C144" s="14" t="s">
        <v>220</v>
      </c>
    </row>
    <row r="145" spans="1:3" x14ac:dyDescent="0.25">
      <c r="A145" s="14" t="s">
        <v>55</v>
      </c>
      <c r="B145" s="14" t="s">
        <v>35</v>
      </c>
      <c r="C145" s="14" t="s">
        <v>221</v>
      </c>
    </row>
    <row r="146" spans="1:3" x14ac:dyDescent="0.25">
      <c r="A146" s="8" t="s">
        <v>56</v>
      </c>
      <c r="B146" s="8" t="s">
        <v>149</v>
      </c>
      <c r="C146" s="8" t="s">
        <v>222</v>
      </c>
    </row>
    <row r="147" spans="1:3" x14ac:dyDescent="0.25">
      <c r="A147" s="8" t="s">
        <v>56</v>
      </c>
      <c r="B147" s="8" t="s">
        <v>0</v>
      </c>
      <c r="C147" s="8" t="s">
        <v>223</v>
      </c>
    </row>
    <row r="148" spans="1:3" x14ac:dyDescent="0.25">
      <c r="A148" s="8" t="s">
        <v>56</v>
      </c>
      <c r="B148" s="8" t="s">
        <v>2</v>
      </c>
      <c r="C148" s="8" t="s">
        <v>224</v>
      </c>
    </row>
    <row r="149" spans="1:3" x14ac:dyDescent="0.25">
      <c r="A149" s="8" t="s">
        <v>56</v>
      </c>
      <c r="B149" s="8" t="s">
        <v>3</v>
      </c>
      <c r="C149" s="8" t="s">
        <v>225</v>
      </c>
    </row>
    <row r="150" spans="1:3" x14ac:dyDescent="0.25">
      <c r="A150" s="8" t="s">
        <v>56</v>
      </c>
      <c r="B150" s="8" t="s">
        <v>4</v>
      </c>
      <c r="C150" s="8" t="s">
        <v>226</v>
      </c>
    </row>
    <row r="151" spans="1:3" x14ac:dyDescent="0.25">
      <c r="A151" s="8" t="s">
        <v>56</v>
      </c>
      <c r="B151" s="8" t="s">
        <v>5</v>
      </c>
      <c r="C151" s="8" t="s">
        <v>227</v>
      </c>
    </row>
    <row r="152" spans="1:3" x14ac:dyDescent="0.25">
      <c r="A152" s="8" t="s">
        <v>56</v>
      </c>
      <c r="B152" s="8" t="s">
        <v>6</v>
      </c>
      <c r="C152" s="8" t="s">
        <v>228</v>
      </c>
    </row>
    <row r="153" spans="1:3" x14ac:dyDescent="0.25">
      <c r="A153" s="8" t="s">
        <v>56</v>
      </c>
      <c r="B153" s="8" t="s">
        <v>34</v>
      </c>
      <c r="C153" s="8" t="s">
        <v>229</v>
      </c>
    </row>
    <row r="154" spans="1:3" x14ac:dyDescent="0.25">
      <c r="A154" s="8" t="s">
        <v>56</v>
      </c>
      <c r="B154" s="8" t="s">
        <v>35</v>
      </c>
      <c r="C154" s="8" t="s">
        <v>230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53641-72A7-4AA9-9409-6054AF788BFC}">
  <dimension ref="A1:C145"/>
  <sheetViews>
    <sheetView workbookViewId="0">
      <selection activeCell="C19" sqref="C19"/>
    </sheetView>
  </sheetViews>
  <sheetFormatPr defaultRowHeight="15" x14ac:dyDescent="0.25"/>
  <cols>
    <col min="3" max="3" width="22" bestFit="1" customWidth="1"/>
  </cols>
  <sheetData>
    <row r="1" spans="1:3" x14ac:dyDescent="0.25">
      <c r="A1" s="2" t="s">
        <v>57</v>
      </c>
      <c r="B1" s="2" t="s">
        <v>63</v>
      </c>
      <c r="C1" s="2" t="s">
        <v>64</v>
      </c>
    </row>
    <row r="2" spans="1:3" x14ac:dyDescent="0.25">
      <c r="A2" s="21" t="s">
        <v>39</v>
      </c>
      <c r="B2" s="21" t="s">
        <v>0</v>
      </c>
      <c r="C2" s="21" t="s">
        <v>1046</v>
      </c>
    </row>
    <row r="3" spans="1:3" x14ac:dyDescent="0.25">
      <c r="A3" s="21" t="s">
        <v>39</v>
      </c>
      <c r="B3" s="21" t="s">
        <v>2</v>
      </c>
      <c r="C3" s="21" t="s">
        <v>1047</v>
      </c>
    </row>
    <row r="4" spans="1:3" x14ac:dyDescent="0.25">
      <c r="A4" s="21" t="s">
        <v>39</v>
      </c>
      <c r="B4" s="21" t="s">
        <v>3</v>
      </c>
      <c r="C4" s="21" t="s">
        <v>1048</v>
      </c>
    </row>
    <row r="5" spans="1:3" x14ac:dyDescent="0.25">
      <c r="A5" s="21" t="s">
        <v>39</v>
      </c>
      <c r="B5" s="21" t="s">
        <v>4</v>
      </c>
      <c r="C5" s="21" t="s">
        <v>1049</v>
      </c>
    </row>
    <row r="6" spans="1:3" x14ac:dyDescent="0.25">
      <c r="A6" s="21" t="s">
        <v>39</v>
      </c>
      <c r="B6" s="21" t="s">
        <v>5</v>
      </c>
      <c r="C6" s="21" t="s">
        <v>1050</v>
      </c>
    </row>
    <row r="7" spans="1:3" x14ac:dyDescent="0.25">
      <c r="A7" s="21" t="s">
        <v>39</v>
      </c>
      <c r="B7" s="21" t="s">
        <v>6</v>
      </c>
      <c r="C7" s="21" t="s">
        <v>1051</v>
      </c>
    </row>
    <row r="8" spans="1:3" x14ac:dyDescent="0.25">
      <c r="A8" s="21" t="s">
        <v>39</v>
      </c>
      <c r="B8" s="21" t="s">
        <v>34</v>
      </c>
      <c r="C8" s="21" t="s">
        <v>1052</v>
      </c>
    </row>
    <row r="9" spans="1:3" x14ac:dyDescent="0.25">
      <c r="A9" s="21" t="s">
        <v>39</v>
      </c>
      <c r="B9" s="21" t="s">
        <v>35</v>
      </c>
      <c r="C9" s="21" t="s">
        <v>1053</v>
      </c>
    </row>
    <row r="10" spans="1:3" x14ac:dyDescent="0.25">
      <c r="A10" s="6" t="s">
        <v>40</v>
      </c>
      <c r="B10" s="6" t="s">
        <v>0</v>
      </c>
      <c r="C10" s="6" t="s">
        <v>1054</v>
      </c>
    </row>
    <row r="11" spans="1:3" x14ac:dyDescent="0.25">
      <c r="A11" s="6" t="s">
        <v>40</v>
      </c>
      <c r="B11" s="6" t="s">
        <v>2</v>
      </c>
      <c r="C11" s="6" t="s">
        <v>1055</v>
      </c>
    </row>
    <row r="12" spans="1:3" x14ac:dyDescent="0.25">
      <c r="A12" s="6" t="s">
        <v>40</v>
      </c>
      <c r="B12" s="6" t="s">
        <v>3</v>
      </c>
      <c r="C12" s="6" t="s">
        <v>1056</v>
      </c>
    </row>
    <row r="13" spans="1:3" x14ac:dyDescent="0.25">
      <c r="A13" s="6" t="s">
        <v>40</v>
      </c>
      <c r="B13" s="6" t="s">
        <v>4</v>
      </c>
      <c r="C13" s="6" t="s">
        <v>1057</v>
      </c>
    </row>
    <row r="14" spans="1:3" x14ac:dyDescent="0.25">
      <c r="A14" s="6" t="s">
        <v>40</v>
      </c>
      <c r="B14" s="6" t="s">
        <v>5</v>
      </c>
      <c r="C14" s="6" t="s">
        <v>1058</v>
      </c>
    </row>
    <row r="15" spans="1:3" x14ac:dyDescent="0.25">
      <c r="A15" s="6" t="s">
        <v>40</v>
      </c>
      <c r="B15" s="6" t="s">
        <v>6</v>
      </c>
      <c r="C15" s="6" t="s">
        <v>1059</v>
      </c>
    </row>
    <row r="16" spans="1:3" x14ac:dyDescent="0.25">
      <c r="A16" s="6" t="s">
        <v>40</v>
      </c>
      <c r="B16" s="6" t="s">
        <v>34</v>
      </c>
      <c r="C16" s="6" t="s">
        <v>1060</v>
      </c>
    </row>
    <row r="17" spans="1:3" x14ac:dyDescent="0.25">
      <c r="A17" s="6" t="s">
        <v>40</v>
      </c>
      <c r="B17" s="6" t="s">
        <v>35</v>
      </c>
      <c r="C17" s="6" t="s">
        <v>1061</v>
      </c>
    </row>
    <row r="18" spans="1:3" x14ac:dyDescent="0.25">
      <c r="A18" s="21" t="s">
        <v>41</v>
      </c>
      <c r="B18" s="21" t="s">
        <v>0</v>
      </c>
      <c r="C18" s="21" t="s">
        <v>1062</v>
      </c>
    </row>
    <row r="19" spans="1:3" x14ac:dyDescent="0.25">
      <c r="A19" s="21" t="s">
        <v>41</v>
      </c>
      <c r="B19" s="21" t="s">
        <v>2</v>
      </c>
      <c r="C19" s="21" t="s">
        <v>1063</v>
      </c>
    </row>
    <row r="20" spans="1:3" x14ac:dyDescent="0.25">
      <c r="A20" s="21" t="s">
        <v>41</v>
      </c>
      <c r="B20" s="21" t="s">
        <v>3</v>
      </c>
      <c r="C20" s="21" t="s">
        <v>1064</v>
      </c>
    </row>
    <row r="21" spans="1:3" x14ac:dyDescent="0.25">
      <c r="A21" s="21" t="s">
        <v>41</v>
      </c>
      <c r="B21" s="21" t="s">
        <v>4</v>
      </c>
      <c r="C21" s="21" t="s">
        <v>1065</v>
      </c>
    </row>
    <row r="22" spans="1:3" x14ac:dyDescent="0.25">
      <c r="A22" s="21" t="s">
        <v>41</v>
      </c>
      <c r="B22" s="21" t="s">
        <v>5</v>
      </c>
      <c r="C22" s="21" t="s">
        <v>1066</v>
      </c>
    </row>
    <row r="23" spans="1:3" x14ac:dyDescent="0.25">
      <c r="A23" s="21" t="s">
        <v>41</v>
      </c>
      <c r="B23" s="21" t="s">
        <v>6</v>
      </c>
      <c r="C23" s="21" t="s">
        <v>1067</v>
      </c>
    </row>
    <row r="24" spans="1:3" x14ac:dyDescent="0.25">
      <c r="A24" s="21" t="s">
        <v>41</v>
      </c>
      <c r="B24" s="21" t="s">
        <v>34</v>
      </c>
      <c r="C24" s="21" t="s">
        <v>1068</v>
      </c>
    </row>
    <row r="25" spans="1:3" x14ac:dyDescent="0.25">
      <c r="A25" s="21" t="s">
        <v>41</v>
      </c>
      <c r="B25" s="21" t="s">
        <v>35</v>
      </c>
      <c r="C25" s="21" t="s">
        <v>1069</v>
      </c>
    </row>
    <row r="26" spans="1:3" x14ac:dyDescent="0.25">
      <c r="A26" s="6" t="s">
        <v>42</v>
      </c>
      <c r="B26" s="6" t="s">
        <v>0</v>
      </c>
      <c r="C26" s="6" t="s">
        <v>1070</v>
      </c>
    </row>
    <row r="27" spans="1:3" x14ac:dyDescent="0.25">
      <c r="A27" s="6" t="s">
        <v>42</v>
      </c>
      <c r="B27" s="6" t="s">
        <v>2</v>
      </c>
      <c r="C27" s="6" t="s">
        <v>1071</v>
      </c>
    </row>
    <row r="28" spans="1:3" x14ac:dyDescent="0.25">
      <c r="A28" s="6" t="s">
        <v>42</v>
      </c>
      <c r="B28" s="6" t="s">
        <v>3</v>
      </c>
      <c r="C28" s="6" t="s">
        <v>1072</v>
      </c>
    </row>
    <row r="29" spans="1:3" x14ac:dyDescent="0.25">
      <c r="A29" s="6" t="s">
        <v>42</v>
      </c>
      <c r="B29" s="6" t="s">
        <v>4</v>
      </c>
      <c r="C29" s="6" t="s">
        <v>1073</v>
      </c>
    </row>
    <row r="30" spans="1:3" x14ac:dyDescent="0.25">
      <c r="A30" s="6" t="s">
        <v>42</v>
      </c>
      <c r="B30" s="6" t="s">
        <v>5</v>
      </c>
      <c r="C30" s="6" t="s">
        <v>1074</v>
      </c>
    </row>
    <row r="31" spans="1:3" x14ac:dyDescent="0.25">
      <c r="A31" s="6" t="s">
        <v>42</v>
      </c>
      <c r="B31" s="6" t="s">
        <v>6</v>
      </c>
      <c r="C31" s="6" t="s">
        <v>1075</v>
      </c>
    </row>
    <row r="32" spans="1:3" x14ac:dyDescent="0.25">
      <c r="A32" s="6" t="s">
        <v>42</v>
      </c>
      <c r="B32" s="6" t="s">
        <v>34</v>
      </c>
      <c r="C32" s="6" t="s">
        <v>1076</v>
      </c>
    </row>
    <row r="33" spans="1:3" x14ac:dyDescent="0.25">
      <c r="A33" s="6" t="s">
        <v>42</v>
      </c>
      <c r="B33" s="6" t="s">
        <v>35</v>
      </c>
      <c r="C33" s="6" t="s">
        <v>1077</v>
      </c>
    </row>
    <row r="34" spans="1:3" x14ac:dyDescent="0.25">
      <c r="A34" s="21" t="s">
        <v>43</v>
      </c>
      <c r="B34" s="21" t="s">
        <v>0</v>
      </c>
      <c r="C34" s="21" t="s">
        <v>1078</v>
      </c>
    </row>
    <row r="35" spans="1:3" x14ac:dyDescent="0.25">
      <c r="A35" s="21" t="s">
        <v>43</v>
      </c>
      <c r="B35" s="21" t="s">
        <v>2</v>
      </c>
      <c r="C35" s="21" t="s">
        <v>1079</v>
      </c>
    </row>
    <row r="36" spans="1:3" x14ac:dyDescent="0.25">
      <c r="A36" s="21" t="s">
        <v>43</v>
      </c>
      <c r="B36" s="21" t="s">
        <v>3</v>
      </c>
      <c r="C36" s="21" t="s">
        <v>1080</v>
      </c>
    </row>
    <row r="37" spans="1:3" x14ac:dyDescent="0.25">
      <c r="A37" s="21" t="s">
        <v>43</v>
      </c>
      <c r="B37" s="21" t="s">
        <v>4</v>
      </c>
      <c r="C37" s="21" t="s">
        <v>1081</v>
      </c>
    </row>
    <row r="38" spans="1:3" x14ac:dyDescent="0.25">
      <c r="A38" s="21" t="s">
        <v>43</v>
      </c>
      <c r="B38" s="21" t="s">
        <v>5</v>
      </c>
      <c r="C38" s="21" t="s">
        <v>1082</v>
      </c>
    </row>
    <row r="39" spans="1:3" x14ac:dyDescent="0.25">
      <c r="A39" s="21" t="s">
        <v>43</v>
      </c>
      <c r="B39" s="21" t="s">
        <v>6</v>
      </c>
      <c r="C39" s="21" t="s">
        <v>1083</v>
      </c>
    </row>
    <row r="40" spans="1:3" x14ac:dyDescent="0.25">
      <c r="A40" s="21" t="s">
        <v>43</v>
      </c>
      <c r="B40" s="21" t="s">
        <v>34</v>
      </c>
      <c r="C40" s="21" t="s">
        <v>1084</v>
      </c>
    </row>
    <row r="41" spans="1:3" x14ac:dyDescent="0.25">
      <c r="A41" s="21" t="s">
        <v>43</v>
      </c>
      <c r="B41" s="21" t="s">
        <v>35</v>
      </c>
      <c r="C41" s="21" t="s">
        <v>1085</v>
      </c>
    </row>
    <row r="42" spans="1:3" x14ac:dyDescent="0.25">
      <c r="A42" s="6" t="s">
        <v>44</v>
      </c>
      <c r="B42" s="6" t="s">
        <v>0</v>
      </c>
      <c r="C42" s="6" t="s">
        <v>1086</v>
      </c>
    </row>
    <row r="43" spans="1:3" x14ac:dyDescent="0.25">
      <c r="A43" s="6" t="s">
        <v>44</v>
      </c>
      <c r="B43" s="6" t="s">
        <v>2</v>
      </c>
      <c r="C43" s="6" t="s">
        <v>1087</v>
      </c>
    </row>
    <row r="44" spans="1:3" x14ac:dyDescent="0.25">
      <c r="A44" s="6" t="s">
        <v>44</v>
      </c>
      <c r="B44" s="6" t="s">
        <v>3</v>
      </c>
      <c r="C44" s="6" t="s">
        <v>1088</v>
      </c>
    </row>
    <row r="45" spans="1:3" x14ac:dyDescent="0.25">
      <c r="A45" s="6" t="s">
        <v>44</v>
      </c>
      <c r="B45" s="6" t="s">
        <v>4</v>
      </c>
      <c r="C45" s="6" t="s">
        <v>1089</v>
      </c>
    </row>
    <row r="46" spans="1:3" x14ac:dyDescent="0.25">
      <c r="A46" s="6" t="s">
        <v>44</v>
      </c>
      <c r="B46" s="6" t="s">
        <v>5</v>
      </c>
      <c r="C46" s="6" t="s">
        <v>1090</v>
      </c>
    </row>
    <row r="47" spans="1:3" x14ac:dyDescent="0.25">
      <c r="A47" s="6" t="s">
        <v>44</v>
      </c>
      <c r="B47" s="6" t="s">
        <v>6</v>
      </c>
      <c r="C47" s="6" t="s">
        <v>1091</v>
      </c>
    </row>
    <row r="48" spans="1:3" x14ac:dyDescent="0.25">
      <c r="A48" s="6" t="s">
        <v>44</v>
      </c>
      <c r="B48" s="6" t="s">
        <v>34</v>
      </c>
      <c r="C48" s="6" t="s">
        <v>1092</v>
      </c>
    </row>
    <row r="49" spans="1:3" x14ac:dyDescent="0.25">
      <c r="A49" s="6" t="s">
        <v>44</v>
      </c>
      <c r="B49" s="6" t="s">
        <v>35</v>
      </c>
      <c r="C49" s="6" t="s">
        <v>1093</v>
      </c>
    </row>
    <row r="50" spans="1:3" x14ac:dyDescent="0.25">
      <c r="A50" s="21" t="s">
        <v>45</v>
      </c>
      <c r="B50" s="21" t="s">
        <v>0</v>
      </c>
      <c r="C50" s="21" t="s">
        <v>1094</v>
      </c>
    </row>
    <row r="51" spans="1:3" x14ac:dyDescent="0.25">
      <c r="A51" s="21" t="s">
        <v>45</v>
      </c>
      <c r="B51" s="21" t="s">
        <v>2</v>
      </c>
      <c r="C51" s="21" t="s">
        <v>1095</v>
      </c>
    </row>
    <row r="52" spans="1:3" x14ac:dyDescent="0.25">
      <c r="A52" s="21" t="s">
        <v>45</v>
      </c>
      <c r="B52" s="21" t="s">
        <v>3</v>
      </c>
      <c r="C52" s="21" t="s">
        <v>1096</v>
      </c>
    </row>
    <row r="53" spans="1:3" x14ac:dyDescent="0.25">
      <c r="A53" s="21" t="s">
        <v>45</v>
      </c>
      <c r="B53" s="21" t="s">
        <v>4</v>
      </c>
      <c r="C53" s="21" t="s">
        <v>1097</v>
      </c>
    </row>
    <row r="54" spans="1:3" x14ac:dyDescent="0.25">
      <c r="A54" s="21" t="s">
        <v>45</v>
      </c>
      <c r="B54" s="21" t="s">
        <v>5</v>
      </c>
      <c r="C54" s="21" t="s">
        <v>1098</v>
      </c>
    </row>
    <row r="55" spans="1:3" x14ac:dyDescent="0.25">
      <c r="A55" s="21" t="s">
        <v>45</v>
      </c>
      <c r="B55" s="21" t="s">
        <v>6</v>
      </c>
      <c r="C55" s="21" t="s">
        <v>1099</v>
      </c>
    </row>
    <row r="56" spans="1:3" x14ac:dyDescent="0.25">
      <c r="A56" s="21" t="s">
        <v>45</v>
      </c>
      <c r="B56" s="21" t="s">
        <v>34</v>
      </c>
      <c r="C56" s="21" t="s">
        <v>1100</v>
      </c>
    </row>
    <row r="57" spans="1:3" x14ac:dyDescent="0.25">
      <c r="A57" s="21" t="s">
        <v>45</v>
      </c>
      <c r="B57" s="21" t="s">
        <v>35</v>
      </c>
      <c r="C57" s="21" t="s">
        <v>1101</v>
      </c>
    </row>
    <row r="58" spans="1:3" x14ac:dyDescent="0.25">
      <c r="A58" s="6" t="s">
        <v>46</v>
      </c>
      <c r="B58" s="6" t="s">
        <v>0</v>
      </c>
      <c r="C58" s="6" t="s">
        <v>1102</v>
      </c>
    </row>
    <row r="59" spans="1:3" x14ac:dyDescent="0.25">
      <c r="A59" s="6" t="s">
        <v>46</v>
      </c>
      <c r="B59" s="6" t="s">
        <v>2</v>
      </c>
      <c r="C59" s="6" t="s">
        <v>1103</v>
      </c>
    </row>
    <row r="60" spans="1:3" x14ac:dyDescent="0.25">
      <c r="A60" s="6" t="s">
        <v>46</v>
      </c>
      <c r="B60" s="6" t="s">
        <v>3</v>
      </c>
      <c r="C60" s="6" t="s">
        <v>1104</v>
      </c>
    </row>
    <row r="61" spans="1:3" x14ac:dyDescent="0.25">
      <c r="A61" s="6" t="s">
        <v>46</v>
      </c>
      <c r="B61" s="6" t="s">
        <v>4</v>
      </c>
      <c r="C61" s="6" t="s">
        <v>1105</v>
      </c>
    </row>
    <row r="62" spans="1:3" x14ac:dyDescent="0.25">
      <c r="A62" s="6" t="s">
        <v>46</v>
      </c>
      <c r="B62" s="6" t="s">
        <v>5</v>
      </c>
      <c r="C62" s="6" t="s">
        <v>1106</v>
      </c>
    </row>
    <row r="63" spans="1:3" x14ac:dyDescent="0.25">
      <c r="A63" s="6" t="s">
        <v>46</v>
      </c>
      <c r="B63" s="6" t="s">
        <v>6</v>
      </c>
      <c r="C63" s="6" t="s">
        <v>1107</v>
      </c>
    </row>
    <row r="64" spans="1:3" x14ac:dyDescent="0.25">
      <c r="A64" s="6" t="s">
        <v>46</v>
      </c>
      <c r="B64" s="6" t="s">
        <v>34</v>
      </c>
      <c r="C64" s="6" t="s">
        <v>1108</v>
      </c>
    </row>
    <row r="65" spans="1:3" x14ac:dyDescent="0.25">
      <c r="A65" s="6" t="s">
        <v>46</v>
      </c>
      <c r="B65" s="6" t="s">
        <v>35</v>
      </c>
      <c r="C65" s="6" t="s">
        <v>1109</v>
      </c>
    </row>
    <row r="66" spans="1:3" x14ac:dyDescent="0.25">
      <c r="A66" s="21" t="s">
        <v>47</v>
      </c>
      <c r="B66" s="21" t="s">
        <v>0</v>
      </c>
      <c r="C66" s="21" t="s">
        <v>1110</v>
      </c>
    </row>
    <row r="67" spans="1:3" x14ac:dyDescent="0.25">
      <c r="A67" s="21" t="s">
        <v>47</v>
      </c>
      <c r="B67" s="21" t="s">
        <v>2</v>
      </c>
      <c r="C67" s="21" t="s">
        <v>1111</v>
      </c>
    </row>
    <row r="68" spans="1:3" x14ac:dyDescent="0.25">
      <c r="A68" s="21" t="s">
        <v>47</v>
      </c>
      <c r="B68" s="21" t="s">
        <v>3</v>
      </c>
      <c r="C68" s="21" t="s">
        <v>1112</v>
      </c>
    </row>
    <row r="69" spans="1:3" x14ac:dyDescent="0.25">
      <c r="A69" s="21" t="s">
        <v>47</v>
      </c>
      <c r="B69" s="21" t="s">
        <v>4</v>
      </c>
      <c r="C69" s="21" t="s">
        <v>1113</v>
      </c>
    </row>
    <row r="70" spans="1:3" x14ac:dyDescent="0.25">
      <c r="A70" s="21" t="s">
        <v>47</v>
      </c>
      <c r="B70" s="21" t="s">
        <v>5</v>
      </c>
      <c r="C70" s="21" t="s">
        <v>1114</v>
      </c>
    </row>
    <row r="71" spans="1:3" x14ac:dyDescent="0.25">
      <c r="A71" s="21" t="s">
        <v>47</v>
      </c>
      <c r="B71" s="21" t="s">
        <v>6</v>
      </c>
      <c r="C71" s="21" t="s">
        <v>1115</v>
      </c>
    </row>
    <row r="72" spans="1:3" x14ac:dyDescent="0.25">
      <c r="A72" s="21" t="s">
        <v>47</v>
      </c>
      <c r="B72" s="21" t="s">
        <v>34</v>
      </c>
      <c r="C72" s="21" t="s">
        <v>1116</v>
      </c>
    </row>
    <row r="73" spans="1:3" x14ac:dyDescent="0.25">
      <c r="A73" s="21" t="s">
        <v>47</v>
      </c>
      <c r="B73" s="21" t="s">
        <v>35</v>
      </c>
      <c r="C73" s="21" t="s">
        <v>1117</v>
      </c>
    </row>
    <row r="74" spans="1:3" x14ac:dyDescent="0.25">
      <c r="A74" s="22" t="s">
        <v>55</v>
      </c>
      <c r="B74" s="22" t="s">
        <v>0</v>
      </c>
      <c r="C74" s="22" t="s">
        <v>1118</v>
      </c>
    </row>
    <row r="75" spans="1:3" x14ac:dyDescent="0.25">
      <c r="A75" s="22" t="s">
        <v>55</v>
      </c>
      <c r="B75" s="22" t="s">
        <v>2</v>
      </c>
      <c r="C75" s="22" t="s">
        <v>1119</v>
      </c>
    </row>
    <row r="76" spans="1:3" x14ac:dyDescent="0.25">
      <c r="A76" s="22" t="s">
        <v>55</v>
      </c>
      <c r="B76" s="22" t="s">
        <v>3</v>
      </c>
      <c r="C76" s="22" t="s">
        <v>1120</v>
      </c>
    </row>
    <row r="77" spans="1:3" x14ac:dyDescent="0.25">
      <c r="A77" s="22" t="s">
        <v>55</v>
      </c>
      <c r="B77" s="22" t="s">
        <v>4</v>
      </c>
      <c r="C77" s="22" t="s">
        <v>1121</v>
      </c>
    </row>
    <row r="78" spans="1:3" x14ac:dyDescent="0.25">
      <c r="A78" s="22" t="s">
        <v>55</v>
      </c>
      <c r="B78" s="22" t="s">
        <v>5</v>
      </c>
      <c r="C78" s="22" t="s">
        <v>1122</v>
      </c>
    </row>
    <row r="79" spans="1:3" x14ac:dyDescent="0.25">
      <c r="A79" s="22" t="s">
        <v>55</v>
      </c>
      <c r="B79" s="22" t="s">
        <v>6</v>
      </c>
      <c r="C79" s="22" t="s">
        <v>1123</v>
      </c>
    </row>
    <row r="80" spans="1:3" x14ac:dyDescent="0.25">
      <c r="A80" s="22" t="s">
        <v>55</v>
      </c>
      <c r="B80" s="22" t="s">
        <v>34</v>
      </c>
      <c r="C80" s="22" t="s">
        <v>1124</v>
      </c>
    </row>
    <row r="81" spans="1:3" x14ac:dyDescent="0.25">
      <c r="A81" s="22" t="s">
        <v>55</v>
      </c>
      <c r="B81" s="22" t="s">
        <v>35</v>
      </c>
      <c r="C81" s="22" t="s">
        <v>1125</v>
      </c>
    </row>
    <row r="82" spans="1:3" x14ac:dyDescent="0.25">
      <c r="A82" s="21" t="s">
        <v>56</v>
      </c>
      <c r="B82" s="21" t="s">
        <v>0</v>
      </c>
      <c r="C82" s="21" t="s">
        <v>1126</v>
      </c>
    </row>
    <row r="83" spans="1:3" x14ac:dyDescent="0.25">
      <c r="A83" s="21" t="s">
        <v>56</v>
      </c>
      <c r="B83" s="21" t="s">
        <v>2</v>
      </c>
      <c r="C83" s="21" t="s">
        <v>1127</v>
      </c>
    </row>
    <row r="84" spans="1:3" x14ac:dyDescent="0.25">
      <c r="A84" s="21" t="s">
        <v>56</v>
      </c>
      <c r="B84" s="21" t="s">
        <v>3</v>
      </c>
      <c r="C84" s="21" t="s">
        <v>1128</v>
      </c>
    </row>
    <row r="85" spans="1:3" x14ac:dyDescent="0.25">
      <c r="A85" s="21" t="s">
        <v>56</v>
      </c>
      <c r="B85" s="21" t="s">
        <v>4</v>
      </c>
      <c r="C85" s="21" t="s">
        <v>1129</v>
      </c>
    </row>
    <row r="86" spans="1:3" x14ac:dyDescent="0.25">
      <c r="A86" s="21" t="s">
        <v>56</v>
      </c>
      <c r="B86" s="21" t="s">
        <v>5</v>
      </c>
      <c r="C86" s="21" t="s">
        <v>1130</v>
      </c>
    </row>
    <row r="87" spans="1:3" x14ac:dyDescent="0.25">
      <c r="A87" s="21" t="s">
        <v>56</v>
      </c>
      <c r="B87" s="21" t="s">
        <v>6</v>
      </c>
      <c r="C87" s="21" t="s">
        <v>1131</v>
      </c>
    </row>
    <row r="88" spans="1:3" x14ac:dyDescent="0.25">
      <c r="A88" s="21" t="s">
        <v>56</v>
      </c>
      <c r="B88" s="21" t="s">
        <v>34</v>
      </c>
      <c r="C88" s="21" t="s">
        <v>1132</v>
      </c>
    </row>
    <row r="89" spans="1:3" x14ac:dyDescent="0.25">
      <c r="A89" s="21" t="s">
        <v>56</v>
      </c>
      <c r="B89" s="21" t="s">
        <v>35</v>
      </c>
      <c r="C89" s="21" t="s">
        <v>1133</v>
      </c>
    </row>
    <row r="90" spans="1:3" x14ac:dyDescent="0.25">
      <c r="A90" s="22" t="s">
        <v>48</v>
      </c>
      <c r="B90" s="22" t="s">
        <v>0</v>
      </c>
      <c r="C90" s="22" t="s">
        <v>1134</v>
      </c>
    </row>
    <row r="91" spans="1:3" x14ac:dyDescent="0.25">
      <c r="A91" s="22" t="s">
        <v>48</v>
      </c>
      <c r="B91" s="22" t="s">
        <v>2</v>
      </c>
      <c r="C91" s="22" t="s">
        <v>1135</v>
      </c>
    </row>
    <row r="92" spans="1:3" x14ac:dyDescent="0.25">
      <c r="A92" s="22" t="s">
        <v>48</v>
      </c>
      <c r="B92" s="22" t="s">
        <v>3</v>
      </c>
      <c r="C92" s="22" t="s">
        <v>1136</v>
      </c>
    </row>
    <row r="93" spans="1:3" x14ac:dyDescent="0.25">
      <c r="A93" s="22" t="s">
        <v>48</v>
      </c>
      <c r="B93" s="22" t="s">
        <v>4</v>
      </c>
      <c r="C93" s="22" t="s">
        <v>1137</v>
      </c>
    </row>
    <row r="94" spans="1:3" x14ac:dyDescent="0.25">
      <c r="A94" s="22" t="s">
        <v>48</v>
      </c>
      <c r="B94" s="22" t="s">
        <v>5</v>
      </c>
      <c r="C94" s="22" t="s">
        <v>1138</v>
      </c>
    </row>
    <row r="95" spans="1:3" x14ac:dyDescent="0.25">
      <c r="A95" s="22" t="s">
        <v>48</v>
      </c>
      <c r="B95" s="22" t="s">
        <v>6</v>
      </c>
      <c r="C95" s="22" t="s">
        <v>1139</v>
      </c>
    </row>
    <row r="96" spans="1:3" x14ac:dyDescent="0.25">
      <c r="A96" s="22" t="s">
        <v>48</v>
      </c>
      <c r="B96" s="22" t="s">
        <v>34</v>
      </c>
      <c r="C96" s="22" t="s">
        <v>1140</v>
      </c>
    </row>
    <row r="97" spans="1:3" x14ac:dyDescent="0.25">
      <c r="A97" s="22" t="s">
        <v>48</v>
      </c>
      <c r="B97" s="22" t="s">
        <v>35</v>
      </c>
      <c r="C97" s="22" t="s">
        <v>1141</v>
      </c>
    </row>
    <row r="98" spans="1:3" x14ac:dyDescent="0.25">
      <c r="A98" s="21" t="s">
        <v>49</v>
      </c>
      <c r="B98" s="21" t="s">
        <v>0</v>
      </c>
      <c r="C98" s="21" t="s">
        <v>1142</v>
      </c>
    </row>
    <row r="99" spans="1:3" x14ac:dyDescent="0.25">
      <c r="A99" s="21" t="s">
        <v>49</v>
      </c>
      <c r="B99" s="21" t="s">
        <v>2</v>
      </c>
      <c r="C99" s="21" t="s">
        <v>1143</v>
      </c>
    </row>
    <row r="100" spans="1:3" x14ac:dyDescent="0.25">
      <c r="A100" s="21" t="s">
        <v>49</v>
      </c>
      <c r="B100" s="21" t="s">
        <v>3</v>
      </c>
      <c r="C100" s="21" t="s">
        <v>1144</v>
      </c>
    </row>
    <row r="101" spans="1:3" x14ac:dyDescent="0.25">
      <c r="A101" s="21" t="s">
        <v>49</v>
      </c>
      <c r="B101" s="21" t="s">
        <v>4</v>
      </c>
      <c r="C101" s="21" t="s">
        <v>1145</v>
      </c>
    </row>
    <row r="102" spans="1:3" x14ac:dyDescent="0.25">
      <c r="A102" s="21" t="s">
        <v>49</v>
      </c>
      <c r="B102" s="21" t="s">
        <v>5</v>
      </c>
      <c r="C102" s="21" t="s">
        <v>1146</v>
      </c>
    </row>
    <row r="103" spans="1:3" x14ac:dyDescent="0.25">
      <c r="A103" s="21" t="s">
        <v>49</v>
      </c>
      <c r="B103" s="21" t="s">
        <v>6</v>
      </c>
      <c r="C103" s="21" t="s">
        <v>1147</v>
      </c>
    </row>
    <row r="104" spans="1:3" x14ac:dyDescent="0.25">
      <c r="A104" s="21" t="s">
        <v>49</v>
      </c>
      <c r="B104" s="21" t="s">
        <v>34</v>
      </c>
      <c r="C104" s="21" t="s">
        <v>1148</v>
      </c>
    </row>
    <row r="105" spans="1:3" x14ac:dyDescent="0.25">
      <c r="A105" s="21" t="s">
        <v>49</v>
      </c>
      <c r="B105" s="21" t="s">
        <v>35</v>
      </c>
      <c r="C105" s="21" t="s">
        <v>1149</v>
      </c>
    </row>
    <row r="106" spans="1:3" x14ac:dyDescent="0.25">
      <c r="A106" s="22" t="s">
        <v>50</v>
      </c>
      <c r="B106" s="22" t="s">
        <v>0</v>
      </c>
      <c r="C106" s="22" t="s">
        <v>1150</v>
      </c>
    </row>
    <row r="107" spans="1:3" x14ac:dyDescent="0.25">
      <c r="A107" s="22" t="s">
        <v>50</v>
      </c>
      <c r="B107" s="22" t="s">
        <v>2</v>
      </c>
      <c r="C107" s="22" t="s">
        <v>1151</v>
      </c>
    </row>
    <row r="108" spans="1:3" x14ac:dyDescent="0.25">
      <c r="A108" s="22" t="s">
        <v>50</v>
      </c>
      <c r="B108" s="22" t="s">
        <v>3</v>
      </c>
      <c r="C108" s="22" t="s">
        <v>1152</v>
      </c>
    </row>
    <row r="109" spans="1:3" x14ac:dyDescent="0.25">
      <c r="A109" s="22" t="s">
        <v>50</v>
      </c>
      <c r="B109" s="22" t="s">
        <v>4</v>
      </c>
      <c r="C109" s="22" t="s">
        <v>1153</v>
      </c>
    </row>
    <row r="110" spans="1:3" x14ac:dyDescent="0.25">
      <c r="A110" s="22" t="s">
        <v>50</v>
      </c>
      <c r="B110" s="22" t="s">
        <v>5</v>
      </c>
      <c r="C110" s="22" t="s">
        <v>1154</v>
      </c>
    </row>
    <row r="111" spans="1:3" x14ac:dyDescent="0.25">
      <c r="A111" s="22" t="s">
        <v>50</v>
      </c>
      <c r="B111" s="22" t="s">
        <v>6</v>
      </c>
      <c r="C111" s="22" t="s">
        <v>1155</v>
      </c>
    </row>
    <row r="112" spans="1:3" x14ac:dyDescent="0.25">
      <c r="A112" s="22" t="s">
        <v>50</v>
      </c>
      <c r="B112" s="22" t="s">
        <v>34</v>
      </c>
      <c r="C112" s="22" t="s">
        <v>1156</v>
      </c>
    </row>
    <row r="113" spans="1:3" x14ac:dyDescent="0.25">
      <c r="A113" s="22" t="s">
        <v>50</v>
      </c>
      <c r="B113" s="22" t="s">
        <v>35</v>
      </c>
      <c r="C113" s="22" t="s">
        <v>1157</v>
      </c>
    </row>
    <row r="114" spans="1:3" x14ac:dyDescent="0.25">
      <c r="A114" s="21" t="s">
        <v>51</v>
      </c>
      <c r="B114" s="21" t="s">
        <v>0</v>
      </c>
      <c r="C114" s="21" t="s">
        <v>1158</v>
      </c>
    </row>
    <row r="115" spans="1:3" x14ac:dyDescent="0.25">
      <c r="A115" s="21" t="s">
        <v>51</v>
      </c>
      <c r="B115" s="21" t="s">
        <v>2</v>
      </c>
      <c r="C115" s="21" t="s">
        <v>1159</v>
      </c>
    </row>
    <row r="116" spans="1:3" x14ac:dyDescent="0.25">
      <c r="A116" s="21" t="s">
        <v>51</v>
      </c>
      <c r="B116" s="21" t="s">
        <v>3</v>
      </c>
      <c r="C116" s="21" t="s">
        <v>1160</v>
      </c>
    </row>
    <row r="117" spans="1:3" x14ac:dyDescent="0.25">
      <c r="A117" s="21" t="s">
        <v>51</v>
      </c>
      <c r="B117" s="21" t="s">
        <v>4</v>
      </c>
      <c r="C117" s="21" t="s">
        <v>1161</v>
      </c>
    </row>
    <row r="118" spans="1:3" x14ac:dyDescent="0.25">
      <c r="A118" s="21" t="s">
        <v>51</v>
      </c>
      <c r="B118" s="21" t="s">
        <v>5</v>
      </c>
      <c r="C118" s="21" t="s">
        <v>1162</v>
      </c>
    </row>
    <row r="119" spans="1:3" x14ac:dyDescent="0.25">
      <c r="A119" s="21" t="s">
        <v>51</v>
      </c>
      <c r="B119" s="21" t="s">
        <v>6</v>
      </c>
      <c r="C119" s="21" t="s">
        <v>1163</v>
      </c>
    </row>
    <row r="120" spans="1:3" x14ac:dyDescent="0.25">
      <c r="A120" s="21" t="s">
        <v>51</v>
      </c>
      <c r="B120" s="21" t="s">
        <v>34</v>
      </c>
      <c r="C120" s="21" t="s">
        <v>1164</v>
      </c>
    </row>
    <row r="121" spans="1:3" x14ac:dyDescent="0.25">
      <c r="A121" s="21" t="s">
        <v>51</v>
      </c>
      <c r="B121" s="21" t="s">
        <v>35</v>
      </c>
      <c r="C121" s="21" t="s">
        <v>1165</v>
      </c>
    </row>
    <row r="122" spans="1:3" x14ac:dyDescent="0.25">
      <c r="A122" s="22" t="s">
        <v>53</v>
      </c>
      <c r="B122" s="22" t="s">
        <v>0</v>
      </c>
      <c r="C122" s="22" t="s">
        <v>1166</v>
      </c>
    </row>
    <row r="123" spans="1:3" x14ac:dyDescent="0.25">
      <c r="A123" s="22" t="s">
        <v>53</v>
      </c>
      <c r="B123" s="22" t="s">
        <v>2</v>
      </c>
      <c r="C123" s="22" t="s">
        <v>1167</v>
      </c>
    </row>
    <row r="124" spans="1:3" x14ac:dyDescent="0.25">
      <c r="A124" s="22" t="s">
        <v>53</v>
      </c>
      <c r="B124" s="22" t="s">
        <v>3</v>
      </c>
      <c r="C124" s="22" t="s">
        <v>1168</v>
      </c>
    </row>
    <row r="125" spans="1:3" x14ac:dyDescent="0.25">
      <c r="A125" s="22" t="s">
        <v>53</v>
      </c>
      <c r="B125" s="22" t="s">
        <v>4</v>
      </c>
      <c r="C125" s="22" t="s">
        <v>1169</v>
      </c>
    </row>
    <row r="126" spans="1:3" x14ac:dyDescent="0.25">
      <c r="A126" s="22" t="s">
        <v>53</v>
      </c>
      <c r="B126" s="22" t="s">
        <v>5</v>
      </c>
      <c r="C126" s="22" t="s">
        <v>1170</v>
      </c>
    </row>
    <row r="127" spans="1:3" x14ac:dyDescent="0.25">
      <c r="A127" s="22" t="s">
        <v>53</v>
      </c>
      <c r="B127" s="22" t="s">
        <v>6</v>
      </c>
      <c r="C127" s="22" t="s">
        <v>1171</v>
      </c>
    </row>
    <row r="128" spans="1:3" x14ac:dyDescent="0.25">
      <c r="A128" s="22" t="s">
        <v>53</v>
      </c>
      <c r="B128" s="22" t="s">
        <v>34</v>
      </c>
      <c r="C128" s="22" t="s">
        <v>1172</v>
      </c>
    </row>
    <row r="129" spans="1:3" x14ac:dyDescent="0.25">
      <c r="A129" s="22" t="s">
        <v>53</v>
      </c>
      <c r="B129" s="22" t="s">
        <v>35</v>
      </c>
      <c r="C129" s="22" t="s">
        <v>1173</v>
      </c>
    </row>
    <row r="130" spans="1:3" x14ac:dyDescent="0.25">
      <c r="A130" s="21" t="s">
        <v>52</v>
      </c>
      <c r="B130" s="21" t="s">
        <v>0</v>
      </c>
      <c r="C130" s="21" t="s">
        <v>1174</v>
      </c>
    </row>
    <row r="131" spans="1:3" x14ac:dyDescent="0.25">
      <c r="A131" s="21" t="s">
        <v>52</v>
      </c>
      <c r="B131" s="21" t="s">
        <v>2</v>
      </c>
      <c r="C131" s="21" t="s">
        <v>1175</v>
      </c>
    </row>
    <row r="132" spans="1:3" x14ac:dyDescent="0.25">
      <c r="A132" s="21" t="s">
        <v>52</v>
      </c>
      <c r="B132" s="21" t="s">
        <v>3</v>
      </c>
      <c r="C132" s="21" t="s">
        <v>1176</v>
      </c>
    </row>
    <row r="133" spans="1:3" x14ac:dyDescent="0.25">
      <c r="A133" s="21" t="s">
        <v>52</v>
      </c>
      <c r="B133" s="21" t="s">
        <v>4</v>
      </c>
      <c r="C133" s="21" t="s">
        <v>1177</v>
      </c>
    </row>
    <row r="134" spans="1:3" x14ac:dyDescent="0.25">
      <c r="A134" s="21" t="s">
        <v>52</v>
      </c>
      <c r="B134" s="21" t="s">
        <v>5</v>
      </c>
      <c r="C134" s="21" t="s">
        <v>1178</v>
      </c>
    </row>
    <row r="135" spans="1:3" x14ac:dyDescent="0.25">
      <c r="A135" s="21" t="s">
        <v>52</v>
      </c>
      <c r="B135" s="21" t="s">
        <v>6</v>
      </c>
      <c r="C135" s="21" t="s">
        <v>1179</v>
      </c>
    </row>
    <row r="136" spans="1:3" x14ac:dyDescent="0.25">
      <c r="A136" s="21" t="s">
        <v>52</v>
      </c>
      <c r="B136" s="21" t="s">
        <v>34</v>
      </c>
      <c r="C136" s="21" t="s">
        <v>1180</v>
      </c>
    </row>
    <row r="137" spans="1:3" x14ac:dyDescent="0.25">
      <c r="A137" s="21" t="s">
        <v>52</v>
      </c>
      <c r="B137" s="21" t="s">
        <v>35</v>
      </c>
      <c r="C137" s="21" t="s">
        <v>1181</v>
      </c>
    </row>
    <row r="138" spans="1:3" x14ac:dyDescent="0.25">
      <c r="A138" s="22" t="s">
        <v>54</v>
      </c>
      <c r="B138" s="22" t="s">
        <v>0</v>
      </c>
      <c r="C138" s="22" t="s">
        <v>1182</v>
      </c>
    </row>
    <row r="139" spans="1:3" x14ac:dyDescent="0.25">
      <c r="A139" s="22" t="s">
        <v>54</v>
      </c>
      <c r="B139" s="22" t="s">
        <v>2</v>
      </c>
      <c r="C139" s="22" t="s">
        <v>1183</v>
      </c>
    </row>
    <row r="140" spans="1:3" x14ac:dyDescent="0.25">
      <c r="A140" s="22" t="s">
        <v>54</v>
      </c>
      <c r="B140" s="22" t="s">
        <v>3</v>
      </c>
      <c r="C140" s="22" t="s">
        <v>1184</v>
      </c>
    </row>
    <row r="141" spans="1:3" x14ac:dyDescent="0.25">
      <c r="A141" s="22" t="s">
        <v>54</v>
      </c>
      <c r="B141" s="22" t="s">
        <v>4</v>
      </c>
      <c r="C141" s="22" t="s">
        <v>1185</v>
      </c>
    </row>
    <row r="142" spans="1:3" x14ac:dyDescent="0.25">
      <c r="A142" s="22" t="s">
        <v>54</v>
      </c>
      <c r="B142" s="22" t="s">
        <v>5</v>
      </c>
      <c r="C142" s="22" t="s">
        <v>1186</v>
      </c>
    </row>
    <row r="143" spans="1:3" x14ac:dyDescent="0.25">
      <c r="A143" s="22" t="s">
        <v>54</v>
      </c>
      <c r="B143" s="22" t="s">
        <v>6</v>
      </c>
      <c r="C143" s="22" t="s">
        <v>1187</v>
      </c>
    </row>
    <row r="144" spans="1:3" x14ac:dyDescent="0.25">
      <c r="A144" s="22" t="s">
        <v>54</v>
      </c>
      <c r="B144" s="22" t="s">
        <v>34</v>
      </c>
      <c r="C144" s="22" t="s">
        <v>1188</v>
      </c>
    </row>
    <row r="145" spans="1:3" x14ac:dyDescent="0.25">
      <c r="A145" s="22" t="s">
        <v>54</v>
      </c>
      <c r="B145" s="22" t="s">
        <v>35</v>
      </c>
      <c r="C145" s="22" t="s">
        <v>1189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8D45-3279-4BF1-9F67-2B6A3DF0FAD7}">
  <dimension ref="A1:D811"/>
  <sheetViews>
    <sheetView workbookViewId="0">
      <selection activeCell="F15" sqref="F15"/>
    </sheetView>
  </sheetViews>
  <sheetFormatPr defaultRowHeight="15" x14ac:dyDescent="0.25"/>
  <cols>
    <col min="1" max="1" width="9.42578125" bestFit="1" customWidth="1"/>
    <col min="2" max="2" width="13.85546875" bestFit="1" customWidth="1"/>
    <col min="3" max="3" width="7.140625" bestFit="1" customWidth="1"/>
    <col min="4" max="4" width="26.85546875" bestFit="1" customWidth="1"/>
  </cols>
  <sheetData>
    <row r="1" spans="1:4" x14ac:dyDescent="0.25">
      <c r="A1" s="20" t="s">
        <v>57</v>
      </c>
      <c r="B1" s="20" t="s">
        <v>38</v>
      </c>
      <c r="C1" s="20" t="s">
        <v>63</v>
      </c>
      <c r="D1" s="20" t="s">
        <v>64</v>
      </c>
    </row>
    <row r="2" spans="1:4" x14ac:dyDescent="0.25">
      <c r="A2" s="15" t="s">
        <v>48</v>
      </c>
      <c r="B2" s="15" t="s">
        <v>231</v>
      </c>
      <c r="C2" s="15" t="s">
        <v>149</v>
      </c>
      <c r="D2" s="15" t="s">
        <v>232</v>
      </c>
    </row>
    <row r="3" spans="1:4" x14ac:dyDescent="0.25">
      <c r="A3" s="15" t="s">
        <v>48</v>
      </c>
      <c r="B3" s="15" t="s">
        <v>231</v>
      </c>
      <c r="C3" s="15" t="s">
        <v>0</v>
      </c>
      <c r="D3" s="15" t="s">
        <v>233</v>
      </c>
    </row>
    <row r="4" spans="1:4" x14ac:dyDescent="0.25">
      <c r="A4" s="15" t="s">
        <v>48</v>
      </c>
      <c r="B4" s="15" t="s">
        <v>231</v>
      </c>
      <c r="C4" s="15" t="s">
        <v>2</v>
      </c>
      <c r="D4" s="15" t="s">
        <v>234</v>
      </c>
    </row>
    <row r="5" spans="1:4" x14ac:dyDescent="0.25">
      <c r="A5" s="15" t="s">
        <v>48</v>
      </c>
      <c r="B5" s="15" t="s">
        <v>231</v>
      </c>
      <c r="C5" s="15" t="s">
        <v>3</v>
      </c>
      <c r="D5" s="15" t="s">
        <v>235</v>
      </c>
    </row>
    <row r="6" spans="1:4" x14ac:dyDescent="0.25">
      <c r="A6" s="15" t="s">
        <v>48</v>
      </c>
      <c r="B6" s="15" t="s">
        <v>231</v>
      </c>
      <c r="C6" s="15" t="s">
        <v>4</v>
      </c>
      <c r="D6" s="15" t="s">
        <v>236</v>
      </c>
    </row>
    <row r="7" spans="1:4" x14ac:dyDescent="0.25">
      <c r="A7" s="15" t="s">
        <v>48</v>
      </c>
      <c r="B7" s="15" t="s">
        <v>231</v>
      </c>
      <c r="C7" s="15" t="s">
        <v>5</v>
      </c>
      <c r="D7" s="15" t="s">
        <v>237</v>
      </c>
    </row>
    <row r="8" spans="1:4" x14ac:dyDescent="0.25">
      <c r="A8" s="15" t="s">
        <v>48</v>
      </c>
      <c r="B8" s="15" t="s">
        <v>231</v>
      </c>
      <c r="C8" s="15" t="s">
        <v>6</v>
      </c>
      <c r="D8" s="15" t="s">
        <v>238</v>
      </c>
    </row>
    <row r="9" spans="1:4" x14ac:dyDescent="0.25">
      <c r="A9" s="15" t="s">
        <v>48</v>
      </c>
      <c r="B9" s="15" t="s">
        <v>231</v>
      </c>
      <c r="C9" s="15" t="s">
        <v>34</v>
      </c>
      <c r="D9" s="15" t="s">
        <v>239</v>
      </c>
    </row>
    <row r="10" spans="1:4" x14ac:dyDescent="0.25">
      <c r="A10" s="15" t="s">
        <v>48</v>
      </c>
      <c r="B10" s="15" t="s">
        <v>231</v>
      </c>
      <c r="C10" s="15" t="s">
        <v>35</v>
      </c>
      <c r="D10" s="15" t="s">
        <v>240</v>
      </c>
    </row>
    <row r="11" spans="1:4" x14ac:dyDescent="0.25">
      <c r="A11" s="16" t="s">
        <v>48</v>
      </c>
      <c r="B11" s="16" t="s">
        <v>241</v>
      </c>
      <c r="C11" s="16" t="s">
        <v>149</v>
      </c>
      <c r="D11" s="16" t="s">
        <v>242</v>
      </c>
    </row>
    <row r="12" spans="1:4" x14ac:dyDescent="0.25">
      <c r="A12" s="16" t="s">
        <v>48</v>
      </c>
      <c r="B12" s="16" t="s">
        <v>241</v>
      </c>
      <c r="C12" s="16" t="s">
        <v>0</v>
      </c>
      <c r="D12" s="16" t="s">
        <v>243</v>
      </c>
    </row>
    <row r="13" spans="1:4" x14ac:dyDescent="0.25">
      <c r="A13" s="16" t="s">
        <v>48</v>
      </c>
      <c r="B13" s="16" t="s">
        <v>241</v>
      </c>
      <c r="C13" s="16" t="s">
        <v>2</v>
      </c>
      <c r="D13" s="16" t="s">
        <v>244</v>
      </c>
    </row>
    <row r="14" spans="1:4" x14ac:dyDescent="0.25">
      <c r="A14" s="16" t="s">
        <v>48</v>
      </c>
      <c r="B14" s="16" t="s">
        <v>241</v>
      </c>
      <c r="C14" s="16" t="s">
        <v>3</v>
      </c>
      <c r="D14" s="16" t="s">
        <v>245</v>
      </c>
    </row>
    <row r="15" spans="1:4" x14ac:dyDescent="0.25">
      <c r="A15" s="16" t="s">
        <v>48</v>
      </c>
      <c r="B15" s="16" t="s">
        <v>241</v>
      </c>
      <c r="C15" s="16" t="s">
        <v>4</v>
      </c>
      <c r="D15" s="16" t="s">
        <v>246</v>
      </c>
    </row>
    <row r="16" spans="1:4" x14ac:dyDescent="0.25">
      <c r="A16" s="16" t="s">
        <v>48</v>
      </c>
      <c r="B16" s="16" t="s">
        <v>241</v>
      </c>
      <c r="C16" s="16" t="s">
        <v>5</v>
      </c>
      <c r="D16" s="16" t="s">
        <v>247</v>
      </c>
    </row>
    <row r="17" spans="1:4" x14ac:dyDescent="0.25">
      <c r="A17" s="16" t="s">
        <v>48</v>
      </c>
      <c r="B17" s="16" t="s">
        <v>241</v>
      </c>
      <c r="C17" s="16" t="s">
        <v>6</v>
      </c>
      <c r="D17" s="16" t="s">
        <v>248</v>
      </c>
    </row>
    <row r="18" spans="1:4" x14ac:dyDescent="0.25">
      <c r="A18" s="16" t="s">
        <v>48</v>
      </c>
      <c r="B18" s="16" t="s">
        <v>241</v>
      </c>
      <c r="C18" s="16" t="s">
        <v>34</v>
      </c>
      <c r="D18" s="16" t="s">
        <v>249</v>
      </c>
    </row>
    <row r="19" spans="1:4" x14ac:dyDescent="0.25">
      <c r="A19" s="16" t="s">
        <v>48</v>
      </c>
      <c r="B19" s="16" t="s">
        <v>241</v>
      </c>
      <c r="C19" s="16" t="s">
        <v>35</v>
      </c>
      <c r="D19" s="16" t="s">
        <v>250</v>
      </c>
    </row>
    <row r="20" spans="1:4" x14ac:dyDescent="0.25">
      <c r="A20" s="17" t="s">
        <v>48</v>
      </c>
      <c r="B20" s="17" t="s">
        <v>251</v>
      </c>
      <c r="C20" s="17" t="s">
        <v>149</v>
      </c>
      <c r="D20" s="17" t="s">
        <v>252</v>
      </c>
    </row>
    <row r="21" spans="1:4" x14ac:dyDescent="0.25">
      <c r="A21" s="17" t="s">
        <v>48</v>
      </c>
      <c r="B21" s="17" t="s">
        <v>251</v>
      </c>
      <c r="C21" s="17" t="s">
        <v>0</v>
      </c>
      <c r="D21" s="17" t="s">
        <v>253</v>
      </c>
    </row>
    <row r="22" spans="1:4" x14ac:dyDescent="0.25">
      <c r="A22" s="17" t="s">
        <v>48</v>
      </c>
      <c r="B22" s="17" t="s">
        <v>251</v>
      </c>
      <c r="C22" s="17" t="s">
        <v>2</v>
      </c>
      <c r="D22" s="17" t="s">
        <v>254</v>
      </c>
    </row>
    <row r="23" spans="1:4" x14ac:dyDescent="0.25">
      <c r="A23" s="17" t="s">
        <v>48</v>
      </c>
      <c r="B23" s="17" t="s">
        <v>251</v>
      </c>
      <c r="C23" s="17" t="s">
        <v>3</v>
      </c>
      <c r="D23" s="17" t="s">
        <v>255</v>
      </c>
    </row>
    <row r="24" spans="1:4" x14ac:dyDescent="0.25">
      <c r="A24" s="17" t="s">
        <v>48</v>
      </c>
      <c r="B24" s="17" t="s">
        <v>251</v>
      </c>
      <c r="C24" s="17" t="s">
        <v>4</v>
      </c>
      <c r="D24" s="17" t="s">
        <v>256</v>
      </c>
    </row>
    <row r="25" spans="1:4" x14ac:dyDescent="0.25">
      <c r="A25" s="17" t="s">
        <v>48</v>
      </c>
      <c r="B25" s="17" t="s">
        <v>251</v>
      </c>
      <c r="C25" s="17" t="s">
        <v>5</v>
      </c>
      <c r="D25" s="17" t="s">
        <v>257</v>
      </c>
    </row>
    <row r="26" spans="1:4" x14ac:dyDescent="0.25">
      <c r="A26" s="17" t="s">
        <v>48</v>
      </c>
      <c r="B26" s="17" t="s">
        <v>251</v>
      </c>
      <c r="C26" s="17" t="s">
        <v>6</v>
      </c>
      <c r="D26" s="17" t="s">
        <v>258</v>
      </c>
    </row>
    <row r="27" spans="1:4" x14ac:dyDescent="0.25">
      <c r="A27" s="17" t="s">
        <v>48</v>
      </c>
      <c r="B27" s="17" t="s">
        <v>251</v>
      </c>
      <c r="C27" s="17" t="s">
        <v>34</v>
      </c>
      <c r="D27" s="17" t="s">
        <v>259</v>
      </c>
    </row>
    <row r="28" spans="1:4" x14ac:dyDescent="0.25">
      <c r="A28" s="17" t="s">
        <v>48</v>
      </c>
      <c r="B28" s="17" t="s">
        <v>251</v>
      </c>
      <c r="C28" s="17" t="s">
        <v>35</v>
      </c>
      <c r="D28" s="17" t="s">
        <v>260</v>
      </c>
    </row>
    <row r="29" spans="1:4" x14ac:dyDescent="0.25">
      <c r="A29" s="18" t="s">
        <v>48</v>
      </c>
      <c r="B29" s="18" t="s">
        <v>261</v>
      </c>
      <c r="C29" s="18" t="s">
        <v>149</v>
      </c>
      <c r="D29" s="18" t="s">
        <v>262</v>
      </c>
    </row>
    <row r="30" spans="1:4" x14ac:dyDescent="0.25">
      <c r="A30" s="18" t="s">
        <v>48</v>
      </c>
      <c r="B30" s="18" t="s">
        <v>261</v>
      </c>
      <c r="C30" s="18" t="s">
        <v>0</v>
      </c>
      <c r="D30" s="18" t="s">
        <v>263</v>
      </c>
    </row>
    <row r="31" spans="1:4" x14ac:dyDescent="0.25">
      <c r="A31" s="18" t="s">
        <v>48</v>
      </c>
      <c r="B31" s="18" t="s">
        <v>261</v>
      </c>
      <c r="C31" s="18" t="s">
        <v>2</v>
      </c>
      <c r="D31" s="18" t="s">
        <v>264</v>
      </c>
    </row>
    <row r="32" spans="1:4" x14ac:dyDescent="0.25">
      <c r="A32" s="18" t="s">
        <v>48</v>
      </c>
      <c r="B32" s="18" t="s">
        <v>261</v>
      </c>
      <c r="C32" s="18" t="s">
        <v>3</v>
      </c>
      <c r="D32" s="18" t="s">
        <v>265</v>
      </c>
    </row>
    <row r="33" spans="1:4" x14ac:dyDescent="0.25">
      <c r="A33" s="18" t="s">
        <v>48</v>
      </c>
      <c r="B33" s="18" t="s">
        <v>261</v>
      </c>
      <c r="C33" s="18" t="s">
        <v>4</v>
      </c>
      <c r="D33" s="18" t="s">
        <v>266</v>
      </c>
    </row>
    <row r="34" spans="1:4" x14ac:dyDescent="0.25">
      <c r="A34" s="18" t="s">
        <v>48</v>
      </c>
      <c r="B34" s="18" t="s">
        <v>261</v>
      </c>
      <c r="C34" s="18" t="s">
        <v>5</v>
      </c>
      <c r="D34" s="18" t="s">
        <v>267</v>
      </c>
    </row>
    <row r="35" spans="1:4" x14ac:dyDescent="0.25">
      <c r="A35" s="18" t="s">
        <v>48</v>
      </c>
      <c r="B35" s="18" t="s">
        <v>261</v>
      </c>
      <c r="C35" s="18" t="s">
        <v>6</v>
      </c>
      <c r="D35" s="18" t="s">
        <v>268</v>
      </c>
    </row>
    <row r="36" spans="1:4" x14ac:dyDescent="0.25">
      <c r="A36" s="18" t="s">
        <v>48</v>
      </c>
      <c r="B36" s="18" t="s">
        <v>261</v>
      </c>
      <c r="C36" s="18" t="s">
        <v>34</v>
      </c>
      <c r="D36" s="18" t="s">
        <v>269</v>
      </c>
    </row>
    <row r="37" spans="1:4" x14ac:dyDescent="0.25">
      <c r="A37" s="18" t="s">
        <v>48</v>
      </c>
      <c r="B37" s="18" t="s">
        <v>261</v>
      </c>
      <c r="C37" s="18" t="s">
        <v>35</v>
      </c>
      <c r="D37" s="18" t="s">
        <v>270</v>
      </c>
    </row>
    <row r="38" spans="1:4" x14ac:dyDescent="0.25">
      <c r="A38" s="19" t="s">
        <v>48</v>
      </c>
      <c r="B38" s="19" t="s">
        <v>271</v>
      </c>
      <c r="C38" s="19" t="s">
        <v>149</v>
      </c>
      <c r="D38" s="19" t="s">
        <v>272</v>
      </c>
    </row>
    <row r="39" spans="1:4" x14ac:dyDescent="0.25">
      <c r="A39" s="19" t="s">
        <v>48</v>
      </c>
      <c r="B39" s="19" t="s">
        <v>271</v>
      </c>
      <c r="C39" s="19" t="s">
        <v>0</v>
      </c>
      <c r="D39" s="19" t="s">
        <v>273</v>
      </c>
    </row>
    <row r="40" spans="1:4" x14ac:dyDescent="0.25">
      <c r="A40" s="19" t="s">
        <v>48</v>
      </c>
      <c r="B40" s="19" t="s">
        <v>271</v>
      </c>
      <c r="C40" s="19" t="s">
        <v>2</v>
      </c>
      <c r="D40" s="19" t="s">
        <v>274</v>
      </c>
    </row>
    <row r="41" spans="1:4" x14ac:dyDescent="0.25">
      <c r="A41" s="19" t="s">
        <v>48</v>
      </c>
      <c r="B41" s="19" t="s">
        <v>271</v>
      </c>
      <c r="C41" s="19" t="s">
        <v>3</v>
      </c>
      <c r="D41" s="19" t="s">
        <v>275</v>
      </c>
    </row>
    <row r="42" spans="1:4" x14ac:dyDescent="0.25">
      <c r="A42" s="19" t="s">
        <v>48</v>
      </c>
      <c r="B42" s="19" t="s">
        <v>271</v>
      </c>
      <c r="C42" s="19" t="s">
        <v>4</v>
      </c>
      <c r="D42" s="19" t="s">
        <v>276</v>
      </c>
    </row>
    <row r="43" spans="1:4" x14ac:dyDescent="0.25">
      <c r="A43" s="19" t="s">
        <v>48</v>
      </c>
      <c r="B43" s="19" t="s">
        <v>271</v>
      </c>
      <c r="C43" s="19" t="s">
        <v>5</v>
      </c>
      <c r="D43" s="19" t="s">
        <v>277</v>
      </c>
    </row>
    <row r="44" spans="1:4" x14ac:dyDescent="0.25">
      <c r="A44" s="19" t="s">
        <v>48</v>
      </c>
      <c r="B44" s="19" t="s">
        <v>271</v>
      </c>
      <c r="C44" s="19" t="s">
        <v>6</v>
      </c>
      <c r="D44" s="19" t="s">
        <v>278</v>
      </c>
    </row>
    <row r="45" spans="1:4" x14ac:dyDescent="0.25">
      <c r="A45" s="19" t="s">
        <v>48</v>
      </c>
      <c r="B45" s="19" t="s">
        <v>271</v>
      </c>
      <c r="C45" s="19" t="s">
        <v>34</v>
      </c>
      <c r="D45" s="19" t="s">
        <v>279</v>
      </c>
    </row>
    <row r="46" spans="1:4" x14ac:dyDescent="0.25">
      <c r="A46" s="19" t="s">
        <v>48</v>
      </c>
      <c r="B46" s="19" t="s">
        <v>271</v>
      </c>
      <c r="C46" s="19" t="s">
        <v>35</v>
      </c>
      <c r="D46" s="19" t="s">
        <v>280</v>
      </c>
    </row>
    <row r="47" spans="1:4" x14ac:dyDescent="0.25">
      <c r="A47" s="15" t="s">
        <v>51</v>
      </c>
      <c r="B47" s="15" t="s">
        <v>231</v>
      </c>
      <c r="C47" s="15" t="s">
        <v>149</v>
      </c>
      <c r="D47" s="15" t="s">
        <v>281</v>
      </c>
    </row>
    <row r="48" spans="1:4" x14ac:dyDescent="0.25">
      <c r="A48" s="15" t="s">
        <v>51</v>
      </c>
      <c r="B48" s="15" t="s">
        <v>231</v>
      </c>
      <c r="C48" s="15" t="s">
        <v>0</v>
      </c>
      <c r="D48" s="15" t="s">
        <v>282</v>
      </c>
    </row>
    <row r="49" spans="1:4" x14ac:dyDescent="0.25">
      <c r="A49" s="15" t="s">
        <v>51</v>
      </c>
      <c r="B49" s="15" t="s">
        <v>231</v>
      </c>
      <c r="C49" s="15" t="s">
        <v>2</v>
      </c>
      <c r="D49" s="15" t="s">
        <v>283</v>
      </c>
    </row>
    <row r="50" spans="1:4" x14ac:dyDescent="0.25">
      <c r="A50" s="15" t="s">
        <v>51</v>
      </c>
      <c r="B50" s="15" t="s">
        <v>231</v>
      </c>
      <c r="C50" s="15" t="s">
        <v>3</v>
      </c>
      <c r="D50" s="15" t="s">
        <v>284</v>
      </c>
    </row>
    <row r="51" spans="1:4" x14ac:dyDescent="0.25">
      <c r="A51" s="15" t="s">
        <v>51</v>
      </c>
      <c r="B51" s="15" t="s">
        <v>231</v>
      </c>
      <c r="C51" s="15" t="s">
        <v>4</v>
      </c>
      <c r="D51" s="15" t="s">
        <v>285</v>
      </c>
    </row>
    <row r="52" spans="1:4" x14ac:dyDescent="0.25">
      <c r="A52" s="15" t="s">
        <v>51</v>
      </c>
      <c r="B52" s="15" t="s">
        <v>231</v>
      </c>
      <c r="C52" s="15" t="s">
        <v>5</v>
      </c>
      <c r="D52" s="15" t="s">
        <v>286</v>
      </c>
    </row>
    <row r="53" spans="1:4" x14ac:dyDescent="0.25">
      <c r="A53" s="15" t="s">
        <v>51</v>
      </c>
      <c r="B53" s="15" t="s">
        <v>231</v>
      </c>
      <c r="C53" s="15" t="s">
        <v>6</v>
      </c>
      <c r="D53" s="15" t="s">
        <v>287</v>
      </c>
    </row>
    <row r="54" spans="1:4" x14ac:dyDescent="0.25">
      <c r="A54" s="15" t="s">
        <v>51</v>
      </c>
      <c r="B54" s="15" t="s">
        <v>231</v>
      </c>
      <c r="C54" s="15" t="s">
        <v>34</v>
      </c>
      <c r="D54" s="15" t="s">
        <v>288</v>
      </c>
    </row>
    <row r="55" spans="1:4" x14ac:dyDescent="0.25">
      <c r="A55" s="15" t="s">
        <v>51</v>
      </c>
      <c r="B55" s="15" t="s">
        <v>231</v>
      </c>
      <c r="C55" s="15" t="s">
        <v>35</v>
      </c>
      <c r="D55" s="15" t="s">
        <v>289</v>
      </c>
    </row>
    <row r="56" spans="1:4" x14ac:dyDescent="0.25">
      <c r="A56" s="16" t="s">
        <v>51</v>
      </c>
      <c r="B56" s="16" t="s">
        <v>241</v>
      </c>
      <c r="C56" s="16" t="s">
        <v>149</v>
      </c>
      <c r="D56" s="16" t="s">
        <v>290</v>
      </c>
    </row>
    <row r="57" spans="1:4" x14ac:dyDescent="0.25">
      <c r="A57" s="16" t="s">
        <v>51</v>
      </c>
      <c r="B57" s="16" t="s">
        <v>241</v>
      </c>
      <c r="C57" s="16" t="s">
        <v>0</v>
      </c>
      <c r="D57" s="16" t="s">
        <v>291</v>
      </c>
    </row>
    <row r="58" spans="1:4" x14ac:dyDescent="0.25">
      <c r="A58" s="16" t="s">
        <v>51</v>
      </c>
      <c r="B58" s="16" t="s">
        <v>241</v>
      </c>
      <c r="C58" s="16" t="s">
        <v>2</v>
      </c>
      <c r="D58" s="16" t="s">
        <v>292</v>
      </c>
    </row>
    <row r="59" spans="1:4" x14ac:dyDescent="0.25">
      <c r="A59" s="16" t="s">
        <v>51</v>
      </c>
      <c r="B59" s="16" t="s">
        <v>241</v>
      </c>
      <c r="C59" s="16" t="s">
        <v>3</v>
      </c>
      <c r="D59" s="16" t="s">
        <v>293</v>
      </c>
    </row>
    <row r="60" spans="1:4" x14ac:dyDescent="0.25">
      <c r="A60" s="16" t="s">
        <v>51</v>
      </c>
      <c r="B60" s="16" t="s">
        <v>241</v>
      </c>
      <c r="C60" s="16" t="s">
        <v>4</v>
      </c>
      <c r="D60" s="16" t="s">
        <v>294</v>
      </c>
    </row>
    <row r="61" spans="1:4" x14ac:dyDescent="0.25">
      <c r="A61" s="16" t="s">
        <v>51</v>
      </c>
      <c r="B61" s="16" t="s">
        <v>241</v>
      </c>
      <c r="C61" s="16" t="s">
        <v>5</v>
      </c>
      <c r="D61" s="16" t="s">
        <v>295</v>
      </c>
    </row>
    <row r="62" spans="1:4" x14ac:dyDescent="0.25">
      <c r="A62" s="16" t="s">
        <v>51</v>
      </c>
      <c r="B62" s="16" t="s">
        <v>241</v>
      </c>
      <c r="C62" s="16" t="s">
        <v>6</v>
      </c>
      <c r="D62" s="16" t="s">
        <v>296</v>
      </c>
    </row>
    <row r="63" spans="1:4" x14ac:dyDescent="0.25">
      <c r="A63" s="16" t="s">
        <v>51</v>
      </c>
      <c r="B63" s="16" t="s">
        <v>241</v>
      </c>
      <c r="C63" s="16" t="s">
        <v>34</v>
      </c>
      <c r="D63" s="16" t="s">
        <v>297</v>
      </c>
    </row>
    <row r="64" spans="1:4" x14ac:dyDescent="0.25">
      <c r="A64" s="16" t="s">
        <v>51</v>
      </c>
      <c r="B64" s="16" t="s">
        <v>241</v>
      </c>
      <c r="C64" s="16" t="s">
        <v>35</v>
      </c>
      <c r="D64" s="16" t="s">
        <v>298</v>
      </c>
    </row>
    <row r="65" spans="1:4" x14ac:dyDescent="0.25">
      <c r="A65" s="17" t="s">
        <v>51</v>
      </c>
      <c r="B65" s="17" t="s">
        <v>251</v>
      </c>
      <c r="C65" s="17" t="s">
        <v>149</v>
      </c>
      <c r="D65" s="17" t="s">
        <v>299</v>
      </c>
    </row>
    <row r="66" spans="1:4" x14ac:dyDescent="0.25">
      <c r="A66" s="17" t="s">
        <v>51</v>
      </c>
      <c r="B66" s="17" t="s">
        <v>251</v>
      </c>
      <c r="C66" s="17" t="s">
        <v>0</v>
      </c>
      <c r="D66" s="17" t="s">
        <v>300</v>
      </c>
    </row>
    <row r="67" spans="1:4" x14ac:dyDescent="0.25">
      <c r="A67" s="17" t="s">
        <v>51</v>
      </c>
      <c r="B67" s="17" t="s">
        <v>251</v>
      </c>
      <c r="C67" s="17" t="s">
        <v>2</v>
      </c>
      <c r="D67" s="17" t="s">
        <v>301</v>
      </c>
    </row>
    <row r="68" spans="1:4" x14ac:dyDescent="0.25">
      <c r="A68" s="17" t="s">
        <v>51</v>
      </c>
      <c r="B68" s="17" t="s">
        <v>251</v>
      </c>
      <c r="C68" s="17" t="s">
        <v>3</v>
      </c>
      <c r="D68" s="17" t="s">
        <v>302</v>
      </c>
    </row>
    <row r="69" spans="1:4" x14ac:dyDescent="0.25">
      <c r="A69" s="17" t="s">
        <v>51</v>
      </c>
      <c r="B69" s="17" t="s">
        <v>251</v>
      </c>
      <c r="C69" s="17" t="s">
        <v>4</v>
      </c>
      <c r="D69" s="17" t="s">
        <v>303</v>
      </c>
    </row>
    <row r="70" spans="1:4" x14ac:dyDescent="0.25">
      <c r="A70" s="17" t="s">
        <v>51</v>
      </c>
      <c r="B70" s="17" t="s">
        <v>251</v>
      </c>
      <c r="C70" s="17" t="s">
        <v>5</v>
      </c>
      <c r="D70" s="17" t="s">
        <v>304</v>
      </c>
    </row>
    <row r="71" spans="1:4" x14ac:dyDescent="0.25">
      <c r="A71" s="17" t="s">
        <v>51</v>
      </c>
      <c r="B71" s="17" t="s">
        <v>251</v>
      </c>
      <c r="C71" s="17" t="s">
        <v>6</v>
      </c>
      <c r="D71" s="17" t="s">
        <v>305</v>
      </c>
    </row>
    <row r="72" spans="1:4" x14ac:dyDescent="0.25">
      <c r="A72" s="17" t="s">
        <v>51</v>
      </c>
      <c r="B72" s="17" t="s">
        <v>251</v>
      </c>
      <c r="C72" s="17" t="s">
        <v>34</v>
      </c>
      <c r="D72" s="17" t="s">
        <v>306</v>
      </c>
    </row>
    <row r="73" spans="1:4" x14ac:dyDescent="0.25">
      <c r="A73" s="17" t="s">
        <v>51</v>
      </c>
      <c r="B73" s="17" t="s">
        <v>251</v>
      </c>
      <c r="C73" s="17" t="s">
        <v>35</v>
      </c>
      <c r="D73" s="17" t="s">
        <v>307</v>
      </c>
    </row>
    <row r="74" spans="1:4" x14ac:dyDescent="0.25">
      <c r="A74" s="18" t="s">
        <v>51</v>
      </c>
      <c r="B74" s="18" t="s">
        <v>261</v>
      </c>
      <c r="C74" s="18" t="s">
        <v>149</v>
      </c>
      <c r="D74" s="18" t="s">
        <v>308</v>
      </c>
    </row>
    <row r="75" spans="1:4" x14ac:dyDescent="0.25">
      <c r="A75" s="18" t="s">
        <v>51</v>
      </c>
      <c r="B75" s="18" t="s">
        <v>261</v>
      </c>
      <c r="C75" s="18" t="s">
        <v>0</v>
      </c>
      <c r="D75" s="18" t="s">
        <v>309</v>
      </c>
    </row>
    <row r="76" spans="1:4" x14ac:dyDescent="0.25">
      <c r="A76" s="18" t="s">
        <v>51</v>
      </c>
      <c r="B76" s="18" t="s">
        <v>261</v>
      </c>
      <c r="C76" s="18" t="s">
        <v>2</v>
      </c>
      <c r="D76" s="18" t="s">
        <v>310</v>
      </c>
    </row>
    <row r="77" spans="1:4" x14ac:dyDescent="0.25">
      <c r="A77" s="18" t="s">
        <v>51</v>
      </c>
      <c r="B77" s="18" t="s">
        <v>261</v>
      </c>
      <c r="C77" s="18" t="s">
        <v>3</v>
      </c>
      <c r="D77" s="18" t="s">
        <v>311</v>
      </c>
    </row>
    <row r="78" spans="1:4" x14ac:dyDescent="0.25">
      <c r="A78" s="18" t="s">
        <v>51</v>
      </c>
      <c r="B78" s="18" t="s">
        <v>261</v>
      </c>
      <c r="C78" s="18" t="s">
        <v>4</v>
      </c>
      <c r="D78" s="18" t="s">
        <v>312</v>
      </c>
    </row>
    <row r="79" spans="1:4" x14ac:dyDescent="0.25">
      <c r="A79" s="18" t="s">
        <v>51</v>
      </c>
      <c r="B79" s="18" t="s">
        <v>261</v>
      </c>
      <c r="C79" s="18" t="s">
        <v>5</v>
      </c>
      <c r="D79" s="18" t="s">
        <v>313</v>
      </c>
    </row>
    <row r="80" spans="1:4" x14ac:dyDescent="0.25">
      <c r="A80" s="18" t="s">
        <v>51</v>
      </c>
      <c r="B80" s="18" t="s">
        <v>261</v>
      </c>
      <c r="C80" s="18" t="s">
        <v>6</v>
      </c>
      <c r="D80" s="18" t="s">
        <v>314</v>
      </c>
    </row>
    <row r="81" spans="1:4" x14ac:dyDescent="0.25">
      <c r="A81" s="18" t="s">
        <v>51</v>
      </c>
      <c r="B81" s="18" t="s">
        <v>261</v>
      </c>
      <c r="C81" s="18" t="s">
        <v>34</v>
      </c>
      <c r="D81" s="18" t="s">
        <v>315</v>
      </c>
    </row>
    <row r="82" spans="1:4" x14ac:dyDescent="0.25">
      <c r="A82" s="18" t="s">
        <v>51</v>
      </c>
      <c r="B82" s="18" t="s">
        <v>261</v>
      </c>
      <c r="C82" s="18" t="s">
        <v>35</v>
      </c>
      <c r="D82" s="18" t="s">
        <v>316</v>
      </c>
    </row>
    <row r="83" spans="1:4" x14ac:dyDescent="0.25">
      <c r="A83" s="19" t="s">
        <v>51</v>
      </c>
      <c r="B83" s="19" t="s">
        <v>271</v>
      </c>
      <c r="C83" s="19" t="s">
        <v>149</v>
      </c>
      <c r="D83" s="19" t="s">
        <v>317</v>
      </c>
    </row>
    <row r="84" spans="1:4" x14ac:dyDescent="0.25">
      <c r="A84" s="19" t="s">
        <v>51</v>
      </c>
      <c r="B84" s="19" t="s">
        <v>271</v>
      </c>
      <c r="C84" s="19" t="s">
        <v>0</v>
      </c>
      <c r="D84" s="19" t="s">
        <v>318</v>
      </c>
    </row>
    <row r="85" spans="1:4" x14ac:dyDescent="0.25">
      <c r="A85" s="19" t="s">
        <v>51</v>
      </c>
      <c r="B85" s="19" t="s">
        <v>271</v>
      </c>
      <c r="C85" s="19" t="s">
        <v>2</v>
      </c>
      <c r="D85" s="19" t="s">
        <v>319</v>
      </c>
    </row>
    <row r="86" spans="1:4" x14ac:dyDescent="0.25">
      <c r="A86" s="19" t="s">
        <v>51</v>
      </c>
      <c r="B86" s="19" t="s">
        <v>271</v>
      </c>
      <c r="C86" s="19" t="s">
        <v>3</v>
      </c>
      <c r="D86" s="19" t="s">
        <v>320</v>
      </c>
    </row>
    <row r="87" spans="1:4" x14ac:dyDescent="0.25">
      <c r="A87" s="19" t="s">
        <v>51</v>
      </c>
      <c r="B87" s="19" t="s">
        <v>271</v>
      </c>
      <c r="C87" s="19" t="s">
        <v>4</v>
      </c>
      <c r="D87" s="19" t="s">
        <v>321</v>
      </c>
    </row>
    <row r="88" spans="1:4" x14ac:dyDescent="0.25">
      <c r="A88" s="19" t="s">
        <v>51</v>
      </c>
      <c r="B88" s="19" t="s">
        <v>271</v>
      </c>
      <c r="C88" s="19" t="s">
        <v>5</v>
      </c>
      <c r="D88" s="19" t="s">
        <v>322</v>
      </c>
    </row>
    <row r="89" spans="1:4" x14ac:dyDescent="0.25">
      <c r="A89" s="19" t="s">
        <v>51</v>
      </c>
      <c r="B89" s="19" t="s">
        <v>271</v>
      </c>
      <c r="C89" s="19" t="s">
        <v>6</v>
      </c>
      <c r="D89" s="19" t="s">
        <v>323</v>
      </c>
    </row>
    <row r="90" spans="1:4" x14ac:dyDescent="0.25">
      <c r="A90" s="19" t="s">
        <v>51</v>
      </c>
      <c r="B90" s="19" t="s">
        <v>271</v>
      </c>
      <c r="C90" s="19" t="s">
        <v>34</v>
      </c>
      <c r="D90" s="19" t="s">
        <v>324</v>
      </c>
    </row>
    <row r="91" spans="1:4" x14ac:dyDescent="0.25">
      <c r="A91" s="19" t="s">
        <v>51</v>
      </c>
      <c r="B91" s="19" t="s">
        <v>271</v>
      </c>
      <c r="C91" s="19" t="s">
        <v>35</v>
      </c>
      <c r="D91" s="19" t="s">
        <v>325</v>
      </c>
    </row>
    <row r="92" spans="1:4" x14ac:dyDescent="0.25">
      <c r="A92" s="15" t="s">
        <v>52</v>
      </c>
      <c r="B92" s="15" t="s">
        <v>231</v>
      </c>
      <c r="C92" s="15" t="s">
        <v>149</v>
      </c>
      <c r="D92" s="15" t="s">
        <v>326</v>
      </c>
    </row>
    <row r="93" spans="1:4" x14ac:dyDescent="0.25">
      <c r="A93" s="15" t="s">
        <v>52</v>
      </c>
      <c r="B93" s="15" t="s">
        <v>231</v>
      </c>
      <c r="C93" s="15" t="s">
        <v>0</v>
      </c>
      <c r="D93" s="15" t="s">
        <v>327</v>
      </c>
    </row>
    <row r="94" spans="1:4" x14ac:dyDescent="0.25">
      <c r="A94" s="15" t="s">
        <v>52</v>
      </c>
      <c r="B94" s="15" t="s">
        <v>231</v>
      </c>
      <c r="C94" s="15" t="s">
        <v>2</v>
      </c>
      <c r="D94" s="15" t="s">
        <v>328</v>
      </c>
    </row>
    <row r="95" spans="1:4" x14ac:dyDescent="0.25">
      <c r="A95" s="15" t="s">
        <v>52</v>
      </c>
      <c r="B95" s="15" t="s">
        <v>231</v>
      </c>
      <c r="C95" s="15" t="s">
        <v>3</v>
      </c>
      <c r="D95" s="15" t="s">
        <v>329</v>
      </c>
    </row>
    <row r="96" spans="1:4" x14ac:dyDescent="0.25">
      <c r="A96" s="15" t="s">
        <v>52</v>
      </c>
      <c r="B96" s="15" t="s">
        <v>231</v>
      </c>
      <c r="C96" s="15" t="s">
        <v>4</v>
      </c>
      <c r="D96" s="15" t="s">
        <v>330</v>
      </c>
    </row>
    <row r="97" spans="1:4" x14ac:dyDescent="0.25">
      <c r="A97" s="15" t="s">
        <v>52</v>
      </c>
      <c r="B97" s="15" t="s">
        <v>231</v>
      </c>
      <c r="C97" s="15" t="s">
        <v>5</v>
      </c>
      <c r="D97" s="15" t="s">
        <v>331</v>
      </c>
    </row>
    <row r="98" spans="1:4" x14ac:dyDescent="0.25">
      <c r="A98" s="15" t="s">
        <v>52</v>
      </c>
      <c r="B98" s="15" t="s">
        <v>231</v>
      </c>
      <c r="C98" s="15" t="s">
        <v>6</v>
      </c>
      <c r="D98" s="15" t="s">
        <v>332</v>
      </c>
    </row>
    <row r="99" spans="1:4" x14ac:dyDescent="0.25">
      <c r="A99" s="15" t="s">
        <v>52</v>
      </c>
      <c r="B99" s="15" t="s">
        <v>231</v>
      </c>
      <c r="C99" s="15" t="s">
        <v>34</v>
      </c>
      <c r="D99" s="15" t="s">
        <v>333</v>
      </c>
    </row>
    <row r="100" spans="1:4" x14ac:dyDescent="0.25">
      <c r="A100" s="15" t="s">
        <v>52</v>
      </c>
      <c r="B100" s="15" t="s">
        <v>231</v>
      </c>
      <c r="C100" s="15" t="s">
        <v>35</v>
      </c>
      <c r="D100" s="15" t="s">
        <v>334</v>
      </c>
    </row>
    <row r="101" spans="1:4" x14ac:dyDescent="0.25">
      <c r="A101" s="16" t="s">
        <v>52</v>
      </c>
      <c r="B101" s="16" t="s">
        <v>241</v>
      </c>
      <c r="C101" s="16" t="s">
        <v>149</v>
      </c>
      <c r="D101" s="16" t="s">
        <v>335</v>
      </c>
    </row>
    <row r="102" spans="1:4" x14ac:dyDescent="0.25">
      <c r="A102" s="16" t="s">
        <v>52</v>
      </c>
      <c r="B102" s="16" t="s">
        <v>241</v>
      </c>
      <c r="C102" s="16" t="s">
        <v>0</v>
      </c>
      <c r="D102" s="16" t="s">
        <v>336</v>
      </c>
    </row>
    <row r="103" spans="1:4" x14ac:dyDescent="0.25">
      <c r="A103" s="16" t="s">
        <v>52</v>
      </c>
      <c r="B103" s="16" t="s">
        <v>241</v>
      </c>
      <c r="C103" s="16" t="s">
        <v>2</v>
      </c>
      <c r="D103" s="16" t="s">
        <v>337</v>
      </c>
    </row>
    <row r="104" spans="1:4" x14ac:dyDescent="0.25">
      <c r="A104" s="16" t="s">
        <v>52</v>
      </c>
      <c r="B104" s="16" t="s">
        <v>241</v>
      </c>
      <c r="C104" s="16" t="s">
        <v>3</v>
      </c>
      <c r="D104" s="16" t="s">
        <v>338</v>
      </c>
    </row>
    <row r="105" spans="1:4" x14ac:dyDescent="0.25">
      <c r="A105" s="16" t="s">
        <v>52</v>
      </c>
      <c r="B105" s="16" t="s">
        <v>241</v>
      </c>
      <c r="C105" s="16" t="s">
        <v>4</v>
      </c>
      <c r="D105" s="16" t="s">
        <v>339</v>
      </c>
    </row>
    <row r="106" spans="1:4" x14ac:dyDescent="0.25">
      <c r="A106" s="16" t="s">
        <v>52</v>
      </c>
      <c r="B106" s="16" t="s">
        <v>241</v>
      </c>
      <c r="C106" s="16" t="s">
        <v>5</v>
      </c>
      <c r="D106" s="16" t="s">
        <v>340</v>
      </c>
    </row>
    <row r="107" spans="1:4" x14ac:dyDescent="0.25">
      <c r="A107" s="16" t="s">
        <v>52</v>
      </c>
      <c r="B107" s="16" t="s">
        <v>241</v>
      </c>
      <c r="C107" s="16" t="s">
        <v>6</v>
      </c>
      <c r="D107" s="16" t="s">
        <v>341</v>
      </c>
    </row>
    <row r="108" spans="1:4" x14ac:dyDescent="0.25">
      <c r="A108" s="16" t="s">
        <v>52</v>
      </c>
      <c r="B108" s="16" t="s">
        <v>241</v>
      </c>
      <c r="C108" s="16" t="s">
        <v>34</v>
      </c>
      <c r="D108" s="16" t="s">
        <v>342</v>
      </c>
    </row>
    <row r="109" spans="1:4" x14ac:dyDescent="0.25">
      <c r="A109" s="16" t="s">
        <v>52</v>
      </c>
      <c r="B109" s="16" t="s">
        <v>241</v>
      </c>
      <c r="C109" s="16" t="s">
        <v>35</v>
      </c>
      <c r="D109" s="16" t="s">
        <v>343</v>
      </c>
    </row>
    <row r="110" spans="1:4" x14ac:dyDescent="0.25">
      <c r="A110" s="17" t="s">
        <v>52</v>
      </c>
      <c r="B110" s="17" t="s">
        <v>251</v>
      </c>
      <c r="C110" s="17" t="s">
        <v>149</v>
      </c>
      <c r="D110" s="17" t="s">
        <v>344</v>
      </c>
    </row>
    <row r="111" spans="1:4" x14ac:dyDescent="0.25">
      <c r="A111" s="17" t="s">
        <v>52</v>
      </c>
      <c r="B111" s="17" t="s">
        <v>251</v>
      </c>
      <c r="C111" s="17" t="s">
        <v>0</v>
      </c>
      <c r="D111" s="17" t="s">
        <v>345</v>
      </c>
    </row>
    <row r="112" spans="1:4" x14ac:dyDescent="0.25">
      <c r="A112" s="17" t="s">
        <v>52</v>
      </c>
      <c r="B112" s="17" t="s">
        <v>251</v>
      </c>
      <c r="C112" s="17" t="s">
        <v>2</v>
      </c>
      <c r="D112" s="17" t="s">
        <v>346</v>
      </c>
    </row>
    <row r="113" spans="1:4" x14ac:dyDescent="0.25">
      <c r="A113" s="17" t="s">
        <v>52</v>
      </c>
      <c r="B113" s="17" t="s">
        <v>251</v>
      </c>
      <c r="C113" s="17" t="s">
        <v>3</v>
      </c>
      <c r="D113" s="17" t="s">
        <v>347</v>
      </c>
    </row>
    <row r="114" spans="1:4" x14ac:dyDescent="0.25">
      <c r="A114" s="17" t="s">
        <v>52</v>
      </c>
      <c r="B114" s="17" t="s">
        <v>251</v>
      </c>
      <c r="C114" s="17" t="s">
        <v>4</v>
      </c>
      <c r="D114" s="17" t="s">
        <v>348</v>
      </c>
    </row>
    <row r="115" spans="1:4" x14ac:dyDescent="0.25">
      <c r="A115" s="17" t="s">
        <v>52</v>
      </c>
      <c r="B115" s="17" t="s">
        <v>251</v>
      </c>
      <c r="C115" s="17" t="s">
        <v>5</v>
      </c>
      <c r="D115" s="17" t="s">
        <v>349</v>
      </c>
    </row>
    <row r="116" spans="1:4" x14ac:dyDescent="0.25">
      <c r="A116" s="17" t="s">
        <v>52</v>
      </c>
      <c r="B116" s="17" t="s">
        <v>251</v>
      </c>
      <c r="C116" s="17" t="s">
        <v>6</v>
      </c>
      <c r="D116" s="17" t="s">
        <v>350</v>
      </c>
    </row>
    <row r="117" spans="1:4" x14ac:dyDescent="0.25">
      <c r="A117" s="17" t="s">
        <v>52</v>
      </c>
      <c r="B117" s="17" t="s">
        <v>251</v>
      </c>
      <c r="C117" s="17" t="s">
        <v>34</v>
      </c>
      <c r="D117" s="17" t="s">
        <v>351</v>
      </c>
    </row>
    <row r="118" spans="1:4" x14ac:dyDescent="0.25">
      <c r="A118" s="17" t="s">
        <v>52</v>
      </c>
      <c r="B118" s="17" t="s">
        <v>251</v>
      </c>
      <c r="C118" s="17" t="s">
        <v>35</v>
      </c>
      <c r="D118" s="17" t="s">
        <v>352</v>
      </c>
    </row>
    <row r="119" spans="1:4" x14ac:dyDescent="0.25">
      <c r="A119" s="18" t="s">
        <v>52</v>
      </c>
      <c r="B119" s="18" t="s">
        <v>261</v>
      </c>
      <c r="C119" s="18" t="s">
        <v>149</v>
      </c>
      <c r="D119" s="18" t="s">
        <v>353</v>
      </c>
    </row>
    <row r="120" spans="1:4" x14ac:dyDescent="0.25">
      <c r="A120" s="18" t="s">
        <v>52</v>
      </c>
      <c r="B120" s="18" t="s">
        <v>261</v>
      </c>
      <c r="C120" s="18" t="s">
        <v>0</v>
      </c>
      <c r="D120" s="18" t="s">
        <v>354</v>
      </c>
    </row>
    <row r="121" spans="1:4" x14ac:dyDescent="0.25">
      <c r="A121" s="18" t="s">
        <v>52</v>
      </c>
      <c r="B121" s="18" t="s">
        <v>261</v>
      </c>
      <c r="C121" s="18" t="s">
        <v>2</v>
      </c>
      <c r="D121" s="18" t="s">
        <v>355</v>
      </c>
    </row>
    <row r="122" spans="1:4" x14ac:dyDescent="0.25">
      <c r="A122" s="18" t="s">
        <v>52</v>
      </c>
      <c r="B122" s="18" t="s">
        <v>261</v>
      </c>
      <c r="C122" s="18" t="s">
        <v>3</v>
      </c>
      <c r="D122" s="18" t="s">
        <v>356</v>
      </c>
    </row>
    <row r="123" spans="1:4" x14ac:dyDescent="0.25">
      <c r="A123" s="18" t="s">
        <v>52</v>
      </c>
      <c r="B123" s="18" t="s">
        <v>261</v>
      </c>
      <c r="C123" s="18" t="s">
        <v>4</v>
      </c>
      <c r="D123" s="18" t="s">
        <v>357</v>
      </c>
    </row>
    <row r="124" spans="1:4" x14ac:dyDescent="0.25">
      <c r="A124" s="18" t="s">
        <v>52</v>
      </c>
      <c r="B124" s="18" t="s">
        <v>261</v>
      </c>
      <c r="C124" s="18" t="s">
        <v>5</v>
      </c>
      <c r="D124" s="18" t="s">
        <v>358</v>
      </c>
    </row>
    <row r="125" spans="1:4" x14ac:dyDescent="0.25">
      <c r="A125" s="18" t="s">
        <v>52</v>
      </c>
      <c r="B125" s="18" t="s">
        <v>261</v>
      </c>
      <c r="C125" s="18" t="s">
        <v>6</v>
      </c>
      <c r="D125" s="18" t="s">
        <v>359</v>
      </c>
    </row>
    <row r="126" spans="1:4" x14ac:dyDescent="0.25">
      <c r="A126" s="18" t="s">
        <v>52</v>
      </c>
      <c r="B126" s="18" t="s">
        <v>261</v>
      </c>
      <c r="C126" s="18" t="s">
        <v>34</v>
      </c>
      <c r="D126" s="18" t="s">
        <v>360</v>
      </c>
    </row>
    <row r="127" spans="1:4" x14ac:dyDescent="0.25">
      <c r="A127" s="18" t="s">
        <v>52</v>
      </c>
      <c r="B127" s="18" t="s">
        <v>261</v>
      </c>
      <c r="C127" s="18" t="s">
        <v>35</v>
      </c>
      <c r="D127" s="18" t="s">
        <v>361</v>
      </c>
    </row>
    <row r="128" spans="1:4" x14ac:dyDescent="0.25">
      <c r="A128" s="19" t="s">
        <v>52</v>
      </c>
      <c r="B128" s="19" t="s">
        <v>271</v>
      </c>
      <c r="C128" s="19" t="s">
        <v>149</v>
      </c>
      <c r="D128" s="19" t="s">
        <v>362</v>
      </c>
    </row>
    <row r="129" spans="1:4" x14ac:dyDescent="0.25">
      <c r="A129" s="19" t="s">
        <v>52</v>
      </c>
      <c r="B129" s="19" t="s">
        <v>271</v>
      </c>
      <c r="C129" s="19" t="s">
        <v>0</v>
      </c>
      <c r="D129" s="19" t="s">
        <v>363</v>
      </c>
    </row>
    <row r="130" spans="1:4" x14ac:dyDescent="0.25">
      <c r="A130" s="19" t="s">
        <v>52</v>
      </c>
      <c r="B130" s="19" t="s">
        <v>271</v>
      </c>
      <c r="C130" s="19" t="s">
        <v>2</v>
      </c>
      <c r="D130" s="19" t="s">
        <v>364</v>
      </c>
    </row>
    <row r="131" spans="1:4" x14ac:dyDescent="0.25">
      <c r="A131" s="19" t="s">
        <v>52</v>
      </c>
      <c r="B131" s="19" t="s">
        <v>271</v>
      </c>
      <c r="C131" s="19" t="s">
        <v>3</v>
      </c>
      <c r="D131" s="19" t="s">
        <v>365</v>
      </c>
    </row>
    <row r="132" spans="1:4" x14ac:dyDescent="0.25">
      <c r="A132" s="19" t="s">
        <v>52</v>
      </c>
      <c r="B132" s="19" t="s">
        <v>271</v>
      </c>
      <c r="C132" s="19" t="s">
        <v>4</v>
      </c>
      <c r="D132" s="19" t="s">
        <v>366</v>
      </c>
    </row>
    <row r="133" spans="1:4" x14ac:dyDescent="0.25">
      <c r="A133" s="19" t="s">
        <v>52</v>
      </c>
      <c r="B133" s="19" t="s">
        <v>271</v>
      </c>
      <c r="C133" s="19" t="s">
        <v>5</v>
      </c>
      <c r="D133" s="19" t="s">
        <v>367</v>
      </c>
    </row>
    <row r="134" spans="1:4" x14ac:dyDescent="0.25">
      <c r="A134" s="19" t="s">
        <v>52</v>
      </c>
      <c r="B134" s="19" t="s">
        <v>271</v>
      </c>
      <c r="C134" s="19" t="s">
        <v>6</v>
      </c>
      <c r="D134" s="19" t="s">
        <v>368</v>
      </c>
    </row>
    <row r="135" spans="1:4" x14ac:dyDescent="0.25">
      <c r="A135" s="19" t="s">
        <v>52</v>
      </c>
      <c r="B135" s="19" t="s">
        <v>271</v>
      </c>
      <c r="C135" s="19" t="s">
        <v>34</v>
      </c>
      <c r="D135" s="19" t="s">
        <v>369</v>
      </c>
    </row>
    <row r="136" spans="1:4" x14ac:dyDescent="0.25">
      <c r="A136" s="19" t="s">
        <v>52</v>
      </c>
      <c r="B136" s="19" t="s">
        <v>271</v>
      </c>
      <c r="C136" s="19" t="s">
        <v>35</v>
      </c>
      <c r="D136" s="19" t="s">
        <v>370</v>
      </c>
    </row>
    <row r="137" spans="1:4" x14ac:dyDescent="0.25">
      <c r="A137" s="15" t="s">
        <v>54</v>
      </c>
      <c r="B137" s="15" t="s">
        <v>231</v>
      </c>
      <c r="C137" s="15" t="s">
        <v>149</v>
      </c>
      <c r="D137" s="15" t="s">
        <v>371</v>
      </c>
    </row>
    <row r="138" spans="1:4" x14ac:dyDescent="0.25">
      <c r="A138" s="15" t="s">
        <v>54</v>
      </c>
      <c r="B138" s="15" t="s">
        <v>231</v>
      </c>
      <c r="C138" s="15" t="s">
        <v>0</v>
      </c>
      <c r="D138" s="15" t="s">
        <v>372</v>
      </c>
    </row>
    <row r="139" spans="1:4" x14ac:dyDescent="0.25">
      <c r="A139" s="15" t="s">
        <v>54</v>
      </c>
      <c r="B139" s="15" t="s">
        <v>231</v>
      </c>
      <c r="C139" s="15" t="s">
        <v>2</v>
      </c>
      <c r="D139" s="15" t="s">
        <v>373</v>
      </c>
    </row>
    <row r="140" spans="1:4" x14ac:dyDescent="0.25">
      <c r="A140" s="15" t="s">
        <v>54</v>
      </c>
      <c r="B140" s="15" t="s">
        <v>231</v>
      </c>
      <c r="C140" s="15" t="s">
        <v>3</v>
      </c>
      <c r="D140" s="15" t="s">
        <v>374</v>
      </c>
    </row>
    <row r="141" spans="1:4" x14ac:dyDescent="0.25">
      <c r="A141" s="15" t="s">
        <v>54</v>
      </c>
      <c r="B141" s="15" t="s">
        <v>231</v>
      </c>
      <c r="C141" s="15" t="s">
        <v>4</v>
      </c>
      <c r="D141" s="15" t="s">
        <v>375</v>
      </c>
    </row>
    <row r="142" spans="1:4" x14ac:dyDescent="0.25">
      <c r="A142" s="15" t="s">
        <v>54</v>
      </c>
      <c r="B142" s="15" t="s">
        <v>231</v>
      </c>
      <c r="C142" s="15" t="s">
        <v>5</v>
      </c>
      <c r="D142" s="15" t="s">
        <v>376</v>
      </c>
    </row>
    <row r="143" spans="1:4" x14ac:dyDescent="0.25">
      <c r="A143" s="15" t="s">
        <v>54</v>
      </c>
      <c r="B143" s="15" t="s">
        <v>231</v>
      </c>
      <c r="C143" s="15" t="s">
        <v>6</v>
      </c>
      <c r="D143" s="15" t="s">
        <v>377</v>
      </c>
    </row>
    <row r="144" spans="1:4" x14ac:dyDescent="0.25">
      <c r="A144" s="15" t="s">
        <v>54</v>
      </c>
      <c r="B144" s="15" t="s">
        <v>231</v>
      </c>
      <c r="C144" s="15" t="s">
        <v>34</v>
      </c>
      <c r="D144" s="15" t="s">
        <v>378</v>
      </c>
    </row>
    <row r="145" spans="1:4" x14ac:dyDescent="0.25">
      <c r="A145" s="15" t="s">
        <v>54</v>
      </c>
      <c r="B145" s="15" t="s">
        <v>231</v>
      </c>
      <c r="C145" s="15" t="s">
        <v>35</v>
      </c>
      <c r="D145" s="15" t="s">
        <v>379</v>
      </c>
    </row>
    <row r="146" spans="1:4" x14ac:dyDescent="0.25">
      <c r="A146" s="16" t="s">
        <v>54</v>
      </c>
      <c r="B146" s="16" t="s">
        <v>241</v>
      </c>
      <c r="C146" s="16" t="s">
        <v>149</v>
      </c>
      <c r="D146" s="16" t="s">
        <v>380</v>
      </c>
    </row>
    <row r="147" spans="1:4" x14ac:dyDescent="0.25">
      <c r="A147" s="16" t="s">
        <v>54</v>
      </c>
      <c r="B147" s="16" t="s">
        <v>241</v>
      </c>
      <c r="C147" s="16" t="s">
        <v>0</v>
      </c>
      <c r="D147" s="16" t="s">
        <v>381</v>
      </c>
    </row>
    <row r="148" spans="1:4" x14ac:dyDescent="0.25">
      <c r="A148" s="16" t="s">
        <v>54</v>
      </c>
      <c r="B148" s="16" t="s">
        <v>241</v>
      </c>
      <c r="C148" s="16" t="s">
        <v>2</v>
      </c>
      <c r="D148" s="16" t="s">
        <v>382</v>
      </c>
    </row>
    <row r="149" spans="1:4" x14ac:dyDescent="0.25">
      <c r="A149" s="16" t="s">
        <v>54</v>
      </c>
      <c r="B149" s="16" t="s">
        <v>241</v>
      </c>
      <c r="C149" s="16" t="s">
        <v>3</v>
      </c>
      <c r="D149" s="16" t="s">
        <v>383</v>
      </c>
    </row>
    <row r="150" spans="1:4" x14ac:dyDescent="0.25">
      <c r="A150" s="16" t="s">
        <v>54</v>
      </c>
      <c r="B150" s="16" t="s">
        <v>241</v>
      </c>
      <c r="C150" s="16" t="s">
        <v>4</v>
      </c>
      <c r="D150" s="16" t="s">
        <v>384</v>
      </c>
    </row>
    <row r="151" spans="1:4" x14ac:dyDescent="0.25">
      <c r="A151" s="16" t="s">
        <v>54</v>
      </c>
      <c r="B151" s="16" t="s">
        <v>241</v>
      </c>
      <c r="C151" s="16" t="s">
        <v>5</v>
      </c>
      <c r="D151" s="16" t="s">
        <v>385</v>
      </c>
    </row>
    <row r="152" spans="1:4" x14ac:dyDescent="0.25">
      <c r="A152" s="16" t="s">
        <v>54</v>
      </c>
      <c r="B152" s="16" t="s">
        <v>241</v>
      </c>
      <c r="C152" s="16" t="s">
        <v>6</v>
      </c>
      <c r="D152" s="16" t="s">
        <v>386</v>
      </c>
    </row>
    <row r="153" spans="1:4" x14ac:dyDescent="0.25">
      <c r="A153" s="16" t="s">
        <v>54</v>
      </c>
      <c r="B153" s="16" t="s">
        <v>241</v>
      </c>
      <c r="C153" s="16" t="s">
        <v>34</v>
      </c>
      <c r="D153" s="16" t="s">
        <v>387</v>
      </c>
    </row>
    <row r="154" spans="1:4" x14ac:dyDescent="0.25">
      <c r="A154" s="16" t="s">
        <v>54</v>
      </c>
      <c r="B154" s="16" t="s">
        <v>241</v>
      </c>
      <c r="C154" s="16" t="s">
        <v>35</v>
      </c>
      <c r="D154" s="16" t="s">
        <v>388</v>
      </c>
    </row>
    <row r="155" spans="1:4" x14ac:dyDescent="0.25">
      <c r="A155" s="17" t="s">
        <v>54</v>
      </c>
      <c r="B155" s="17" t="s">
        <v>251</v>
      </c>
      <c r="C155" s="17" t="s">
        <v>149</v>
      </c>
      <c r="D155" s="17" t="s">
        <v>389</v>
      </c>
    </row>
    <row r="156" spans="1:4" x14ac:dyDescent="0.25">
      <c r="A156" s="17" t="s">
        <v>54</v>
      </c>
      <c r="B156" s="17" t="s">
        <v>251</v>
      </c>
      <c r="C156" s="17" t="s">
        <v>0</v>
      </c>
      <c r="D156" s="17" t="s">
        <v>390</v>
      </c>
    </row>
    <row r="157" spans="1:4" x14ac:dyDescent="0.25">
      <c r="A157" s="17" t="s">
        <v>54</v>
      </c>
      <c r="B157" s="17" t="s">
        <v>251</v>
      </c>
      <c r="C157" s="17" t="s">
        <v>2</v>
      </c>
      <c r="D157" s="17" t="s">
        <v>391</v>
      </c>
    </row>
    <row r="158" spans="1:4" x14ac:dyDescent="0.25">
      <c r="A158" s="17" t="s">
        <v>54</v>
      </c>
      <c r="B158" s="17" t="s">
        <v>251</v>
      </c>
      <c r="C158" s="17" t="s">
        <v>3</v>
      </c>
      <c r="D158" s="17" t="s">
        <v>392</v>
      </c>
    </row>
    <row r="159" spans="1:4" x14ac:dyDescent="0.25">
      <c r="A159" s="17" t="s">
        <v>54</v>
      </c>
      <c r="B159" s="17" t="s">
        <v>251</v>
      </c>
      <c r="C159" s="17" t="s">
        <v>4</v>
      </c>
      <c r="D159" s="17" t="s">
        <v>393</v>
      </c>
    </row>
    <row r="160" spans="1:4" x14ac:dyDescent="0.25">
      <c r="A160" s="17" t="s">
        <v>54</v>
      </c>
      <c r="B160" s="17" t="s">
        <v>251</v>
      </c>
      <c r="C160" s="17" t="s">
        <v>5</v>
      </c>
      <c r="D160" s="17" t="s">
        <v>394</v>
      </c>
    </row>
    <row r="161" spans="1:4" x14ac:dyDescent="0.25">
      <c r="A161" s="17" t="s">
        <v>54</v>
      </c>
      <c r="B161" s="17" t="s">
        <v>251</v>
      </c>
      <c r="C161" s="17" t="s">
        <v>6</v>
      </c>
      <c r="D161" s="17" t="s">
        <v>395</v>
      </c>
    </row>
    <row r="162" spans="1:4" x14ac:dyDescent="0.25">
      <c r="A162" s="17" t="s">
        <v>54</v>
      </c>
      <c r="B162" s="17" t="s">
        <v>251</v>
      </c>
      <c r="C162" s="17" t="s">
        <v>34</v>
      </c>
      <c r="D162" s="17" t="s">
        <v>396</v>
      </c>
    </row>
    <row r="163" spans="1:4" x14ac:dyDescent="0.25">
      <c r="A163" s="17" t="s">
        <v>54</v>
      </c>
      <c r="B163" s="17" t="s">
        <v>251</v>
      </c>
      <c r="C163" s="17" t="s">
        <v>35</v>
      </c>
      <c r="D163" s="17" t="s">
        <v>397</v>
      </c>
    </row>
    <row r="164" spans="1:4" x14ac:dyDescent="0.25">
      <c r="A164" s="18" t="s">
        <v>54</v>
      </c>
      <c r="B164" s="18" t="s">
        <v>261</v>
      </c>
      <c r="C164" s="18" t="s">
        <v>149</v>
      </c>
      <c r="D164" s="18" t="s">
        <v>398</v>
      </c>
    </row>
    <row r="165" spans="1:4" x14ac:dyDescent="0.25">
      <c r="A165" s="18" t="s">
        <v>54</v>
      </c>
      <c r="B165" s="18" t="s">
        <v>261</v>
      </c>
      <c r="C165" s="18" t="s">
        <v>0</v>
      </c>
      <c r="D165" s="18" t="s">
        <v>399</v>
      </c>
    </row>
    <row r="166" spans="1:4" x14ac:dyDescent="0.25">
      <c r="A166" s="18" t="s">
        <v>54</v>
      </c>
      <c r="B166" s="18" t="s">
        <v>261</v>
      </c>
      <c r="C166" s="18" t="s">
        <v>2</v>
      </c>
      <c r="D166" s="18" t="s">
        <v>400</v>
      </c>
    </row>
    <row r="167" spans="1:4" x14ac:dyDescent="0.25">
      <c r="A167" s="18" t="s">
        <v>54</v>
      </c>
      <c r="B167" s="18" t="s">
        <v>261</v>
      </c>
      <c r="C167" s="18" t="s">
        <v>3</v>
      </c>
      <c r="D167" s="18" t="s">
        <v>401</v>
      </c>
    </row>
    <row r="168" spans="1:4" x14ac:dyDescent="0.25">
      <c r="A168" s="18" t="s">
        <v>54</v>
      </c>
      <c r="B168" s="18" t="s">
        <v>261</v>
      </c>
      <c r="C168" s="18" t="s">
        <v>4</v>
      </c>
      <c r="D168" s="18" t="s">
        <v>402</v>
      </c>
    </row>
    <row r="169" spans="1:4" x14ac:dyDescent="0.25">
      <c r="A169" s="18" t="s">
        <v>54</v>
      </c>
      <c r="B169" s="18" t="s">
        <v>261</v>
      </c>
      <c r="C169" s="18" t="s">
        <v>5</v>
      </c>
      <c r="D169" s="18" t="s">
        <v>403</v>
      </c>
    </row>
    <row r="170" spans="1:4" x14ac:dyDescent="0.25">
      <c r="A170" s="18" t="s">
        <v>54</v>
      </c>
      <c r="B170" s="18" t="s">
        <v>261</v>
      </c>
      <c r="C170" s="18" t="s">
        <v>6</v>
      </c>
      <c r="D170" s="18" t="s">
        <v>404</v>
      </c>
    </row>
    <row r="171" spans="1:4" x14ac:dyDescent="0.25">
      <c r="A171" s="18" t="s">
        <v>54</v>
      </c>
      <c r="B171" s="18" t="s">
        <v>261</v>
      </c>
      <c r="C171" s="18" t="s">
        <v>34</v>
      </c>
      <c r="D171" s="18" t="s">
        <v>405</v>
      </c>
    </row>
    <row r="172" spans="1:4" x14ac:dyDescent="0.25">
      <c r="A172" s="18" t="s">
        <v>54</v>
      </c>
      <c r="B172" s="18" t="s">
        <v>261</v>
      </c>
      <c r="C172" s="18" t="s">
        <v>35</v>
      </c>
      <c r="D172" s="18" t="s">
        <v>406</v>
      </c>
    </row>
    <row r="173" spans="1:4" x14ac:dyDescent="0.25">
      <c r="A173" s="19" t="s">
        <v>54</v>
      </c>
      <c r="B173" s="19" t="s">
        <v>271</v>
      </c>
      <c r="C173" s="19" t="s">
        <v>149</v>
      </c>
      <c r="D173" s="19" t="s">
        <v>407</v>
      </c>
    </row>
    <row r="174" spans="1:4" x14ac:dyDescent="0.25">
      <c r="A174" s="19" t="s">
        <v>54</v>
      </c>
      <c r="B174" s="19" t="s">
        <v>271</v>
      </c>
      <c r="C174" s="19" t="s">
        <v>0</v>
      </c>
      <c r="D174" s="19" t="s">
        <v>408</v>
      </c>
    </row>
    <row r="175" spans="1:4" x14ac:dyDescent="0.25">
      <c r="A175" s="19" t="s">
        <v>54</v>
      </c>
      <c r="B175" s="19" t="s">
        <v>271</v>
      </c>
      <c r="C175" s="19" t="s">
        <v>2</v>
      </c>
      <c r="D175" s="19" t="s">
        <v>409</v>
      </c>
    </row>
    <row r="176" spans="1:4" x14ac:dyDescent="0.25">
      <c r="A176" s="19" t="s">
        <v>54</v>
      </c>
      <c r="B176" s="19" t="s">
        <v>271</v>
      </c>
      <c r="C176" s="19" t="s">
        <v>3</v>
      </c>
      <c r="D176" s="19" t="s">
        <v>410</v>
      </c>
    </row>
    <row r="177" spans="1:4" x14ac:dyDescent="0.25">
      <c r="A177" s="19" t="s">
        <v>54</v>
      </c>
      <c r="B177" s="19" t="s">
        <v>271</v>
      </c>
      <c r="C177" s="19" t="s">
        <v>4</v>
      </c>
      <c r="D177" s="19" t="s">
        <v>411</v>
      </c>
    </row>
    <row r="178" spans="1:4" x14ac:dyDescent="0.25">
      <c r="A178" s="19" t="s">
        <v>54</v>
      </c>
      <c r="B178" s="19" t="s">
        <v>271</v>
      </c>
      <c r="C178" s="19" t="s">
        <v>5</v>
      </c>
      <c r="D178" s="19" t="s">
        <v>412</v>
      </c>
    </row>
    <row r="179" spans="1:4" x14ac:dyDescent="0.25">
      <c r="A179" s="19" t="s">
        <v>54</v>
      </c>
      <c r="B179" s="19" t="s">
        <v>271</v>
      </c>
      <c r="C179" s="19" t="s">
        <v>6</v>
      </c>
      <c r="D179" s="19" t="s">
        <v>413</v>
      </c>
    </row>
    <row r="180" spans="1:4" x14ac:dyDescent="0.25">
      <c r="A180" s="19" t="s">
        <v>54</v>
      </c>
      <c r="B180" s="19" t="s">
        <v>271</v>
      </c>
      <c r="C180" s="19" t="s">
        <v>34</v>
      </c>
      <c r="D180" s="19" t="s">
        <v>414</v>
      </c>
    </row>
    <row r="181" spans="1:4" x14ac:dyDescent="0.25">
      <c r="A181" s="19" t="s">
        <v>54</v>
      </c>
      <c r="B181" s="19" t="s">
        <v>271</v>
      </c>
      <c r="C181" s="19" t="s">
        <v>35</v>
      </c>
      <c r="D181" s="19" t="s">
        <v>415</v>
      </c>
    </row>
    <row r="182" spans="1:4" x14ac:dyDescent="0.25">
      <c r="A182" s="15" t="s">
        <v>49</v>
      </c>
      <c r="B182" s="15" t="s">
        <v>231</v>
      </c>
      <c r="C182" s="15" t="s">
        <v>149</v>
      </c>
      <c r="D182" s="15" t="s">
        <v>416</v>
      </c>
    </row>
    <row r="183" spans="1:4" x14ac:dyDescent="0.25">
      <c r="A183" s="15" t="s">
        <v>49</v>
      </c>
      <c r="B183" s="15" t="s">
        <v>231</v>
      </c>
      <c r="C183" s="15" t="s">
        <v>0</v>
      </c>
      <c r="D183" s="15" t="s">
        <v>417</v>
      </c>
    </row>
    <row r="184" spans="1:4" x14ac:dyDescent="0.25">
      <c r="A184" s="15" t="s">
        <v>49</v>
      </c>
      <c r="B184" s="15" t="s">
        <v>231</v>
      </c>
      <c r="C184" s="15" t="s">
        <v>2</v>
      </c>
      <c r="D184" s="15" t="s">
        <v>418</v>
      </c>
    </row>
    <row r="185" spans="1:4" x14ac:dyDescent="0.25">
      <c r="A185" s="15" t="s">
        <v>49</v>
      </c>
      <c r="B185" s="15" t="s">
        <v>231</v>
      </c>
      <c r="C185" s="15" t="s">
        <v>3</v>
      </c>
      <c r="D185" s="15" t="s">
        <v>419</v>
      </c>
    </row>
    <row r="186" spans="1:4" x14ac:dyDescent="0.25">
      <c r="A186" s="15" t="s">
        <v>49</v>
      </c>
      <c r="B186" s="15" t="s">
        <v>231</v>
      </c>
      <c r="C186" s="15" t="s">
        <v>4</v>
      </c>
      <c r="D186" s="15" t="s">
        <v>420</v>
      </c>
    </row>
    <row r="187" spans="1:4" x14ac:dyDescent="0.25">
      <c r="A187" s="15" t="s">
        <v>49</v>
      </c>
      <c r="B187" s="15" t="s">
        <v>231</v>
      </c>
      <c r="C187" s="15" t="s">
        <v>5</v>
      </c>
      <c r="D187" s="15" t="s">
        <v>421</v>
      </c>
    </row>
    <row r="188" spans="1:4" x14ac:dyDescent="0.25">
      <c r="A188" s="15" t="s">
        <v>49</v>
      </c>
      <c r="B188" s="15" t="s">
        <v>231</v>
      </c>
      <c r="C188" s="15" t="s">
        <v>6</v>
      </c>
      <c r="D188" s="15" t="s">
        <v>422</v>
      </c>
    </row>
    <row r="189" spans="1:4" x14ac:dyDescent="0.25">
      <c r="A189" s="15" t="s">
        <v>49</v>
      </c>
      <c r="B189" s="15" t="s">
        <v>231</v>
      </c>
      <c r="C189" s="15" t="s">
        <v>34</v>
      </c>
      <c r="D189" s="15" t="s">
        <v>423</v>
      </c>
    </row>
    <row r="190" spans="1:4" x14ac:dyDescent="0.25">
      <c r="A190" s="15" t="s">
        <v>49</v>
      </c>
      <c r="B190" s="15" t="s">
        <v>231</v>
      </c>
      <c r="C190" s="15" t="s">
        <v>35</v>
      </c>
      <c r="D190" s="15" t="s">
        <v>424</v>
      </c>
    </row>
    <row r="191" spans="1:4" x14ac:dyDescent="0.25">
      <c r="A191" s="16" t="s">
        <v>49</v>
      </c>
      <c r="B191" s="16" t="s">
        <v>241</v>
      </c>
      <c r="C191" s="16" t="s">
        <v>149</v>
      </c>
      <c r="D191" s="16" t="s">
        <v>425</v>
      </c>
    </row>
    <row r="192" spans="1:4" x14ac:dyDescent="0.25">
      <c r="A192" s="16" t="s">
        <v>49</v>
      </c>
      <c r="B192" s="16" t="s">
        <v>241</v>
      </c>
      <c r="C192" s="16" t="s">
        <v>0</v>
      </c>
      <c r="D192" s="16" t="s">
        <v>426</v>
      </c>
    </row>
    <row r="193" spans="1:4" x14ac:dyDescent="0.25">
      <c r="A193" s="16" t="s">
        <v>49</v>
      </c>
      <c r="B193" s="16" t="s">
        <v>241</v>
      </c>
      <c r="C193" s="16" t="s">
        <v>2</v>
      </c>
      <c r="D193" s="16" t="s">
        <v>427</v>
      </c>
    </row>
    <row r="194" spans="1:4" x14ac:dyDescent="0.25">
      <c r="A194" s="16" t="s">
        <v>49</v>
      </c>
      <c r="B194" s="16" t="s">
        <v>241</v>
      </c>
      <c r="C194" s="16" t="s">
        <v>3</v>
      </c>
      <c r="D194" s="16" t="s">
        <v>428</v>
      </c>
    </row>
    <row r="195" spans="1:4" x14ac:dyDescent="0.25">
      <c r="A195" s="16" t="s">
        <v>49</v>
      </c>
      <c r="B195" s="16" t="s">
        <v>241</v>
      </c>
      <c r="C195" s="16" t="s">
        <v>4</v>
      </c>
      <c r="D195" s="16" t="s">
        <v>429</v>
      </c>
    </row>
    <row r="196" spans="1:4" x14ac:dyDescent="0.25">
      <c r="A196" s="16" t="s">
        <v>49</v>
      </c>
      <c r="B196" s="16" t="s">
        <v>241</v>
      </c>
      <c r="C196" s="16" t="s">
        <v>5</v>
      </c>
      <c r="D196" s="16" t="s">
        <v>430</v>
      </c>
    </row>
    <row r="197" spans="1:4" x14ac:dyDescent="0.25">
      <c r="A197" s="16" t="s">
        <v>49</v>
      </c>
      <c r="B197" s="16" t="s">
        <v>241</v>
      </c>
      <c r="C197" s="16" t="s">
        <v>6</v>
      </c>
      <c r="D197" s="16" t="s">
        <v>431</v>
      </c>
    </row>
    <row r="198" spans="1:4" x14ac:dyDescent="0.25">
      <c r="A198" s="16" t="s">
        <v>49</v>
      </c>
      <c r="B198" s="16" t="s">
        <v>241</v>
      </c>
      <c r="C198" s="16" t="s">
        <v>34</v>
      </c>
      <c r="D198" s="16" t="s">
        <v>432</v>
      </c>
    </row>
    <row r="199" spans="1:4" x14ac:dyDescent="0.25">
      <c r="A199" s="16" t="s">
        <v>49</v>
      </c>
      <c r="B199" s="16" t="s">
        <v>241</v>
      </c>
      <c r="C199" s="16" t="s">
        <v>35</v>
      </c>
      <c r="D199" s="16" t="s">
        <v>433</v>
      </c>
    </row>
    <row r="200" spans="1:4" x14ac:dyDescent="0.25">
      <c r="A200" s="17" t="s">
        <v>49</v>
      </c>
      <c r="B200" s="17" t="s">
        <v>251</v>
      </c>
      <c r="C200" s="17" t="s">
        <v>149</v>
      </c>
      <c r="D200" s="17" t="s">
        <v>434</v>
      </c>
    </row>
    <row r="201" spans="1:4" x14ac:dyDescent="0.25">
      <c r="A201" s="17" t="s">
        <v>49</v>
      </c>
      <c r="B201" s="17" t="s">
        <v>251</v>
      </c>
      <c r="C201" s="17" t="s">
        <v>0</v>
      </c>
      <c r="D201" s="17" t="s">
        <v>435</v>
      </c>
    </row>
    <row r="202" spans="1:4" x14ac:dyDescent="0.25">
      <c r="A202" s="17" t="s">
        <v>49</v>
      </c>
      <c r="B202" s="17" t="s">
        <v>251</v>
      </c>
      <c r="C202" s="17" t="s">
        <v>2</v>
      </c>
      <c r="D202" s="17" t="s">
        <v>436</v>
      </c>
    </row>
    <row r="203" spans="1:4" x14ac:dyDescent="0.25">
      <c r="A203" s="17" t="s">
        <v>49</v>
      </c>
      <c r="B203" s="17" t="s">
        <v>251</v>
      </c>
      <c r="C203" s="17" t="s">
        <v>3</v>
      </c>
      <c r="D203" s="17" t="s">
        <v>437</v>
      </c>
    </row>
    <row r="204" spans="1:4" x14ac:dyDescent="0.25">
      <c r="A204" s="17" t="s">
        <v>49</v>
      </c>
      <c r="B204" s="17" t="s">
        <v>251</v>
      </c>
      <c r="C204" s="17" t="s">
        <v>4</v>
      </c>
      <c r="D204" s="17" t="s">
        <v>438</v>
      </c>
    </row>
    <row r="205" spans="1:4" x14ac:dyDescent="0.25">
      <c r="A205" s="17" t="s">
        <v>49</v>
      </c>
      <c r="B205" s="17" t="s">
        <v>251</v>
      </c>
      <c r="C205" s="17" t="s">
        <v>5</v>
      </c>
      <c r="D205" s="17" t="s">
        <v>439</v>
      </c>
    </row>
    <row r="206" spans="1:4" x14ac:dyDescent="0.25">
      <c r="A206" s="17" t="s">
        <v>49</v>
      </c>
      <c r="B206" s="17" t="s">
        <v>251</v>
      </c>
      <c r="C206" s="17" t="s">
        <v>6</v>
      </c>
      <c r="D206" s="17" t="s">
        <v>440</v>
      </c>
    </row>
    <row r="207" spans="1:4" x14ac:dyDescent="0.25">
      <c r="A207" s="17" t="s">
        <v>49</v>
      </c>
      <c r="B207" s="17" t="s">
        <v>251</v>
      </c>
      <c r="C207" s="17" t="s">
        <v>34</v>
      </c>
      <c r="D207" s="17" t="s">
        <v>441</v>
      </c>
    </row>
    <row r="208" spans="1:4" x14ac:dyDescent="0.25">
      <c r="A208" s="17" t="s">
        <v>49</v>
      </c>
      <c r="B208" s="17" t="s">
        <v>251</v>
      </c>
      <c r="C208" s="17" t="s">
        <v>35</v>
      </c>
      <c r="D208" s="17" t="s">
        <v>442</v>
      </c>
    </row>
    <row r="209" spans="1:4" x14ac:dyDescent="0.25">
      <c r="A209" s="18" t="s">
        <v>49</v>
      </c>
      <c r="B209" s="18" t="s">
        <v>261</v>
      </c>
      <c r="C209" s="18" t="s">
        <v>149</v>
      </c>
      <c r="D209" s="18" t="s">
        <v>443</v>
      </c>
    </row>
    <row r="210" spans="1:4" x14ac:dyDescent="0.25">
      <c r="A210" s="18" t="s">
        <v>49</v>
      </c>
      <c r="B210" s="18" t="s">
        <v>261</v>
      </c>
      <c r="C210" s="18" t="s">
        <v>0</v>
      </c>
      <c r="D210" s="18" t="s">
        <v>444</v>
      </c>
    </row>
    <row r="211" spans="1:4" x14ac:dyDescent="0.25">
      <c r="A211" s="18" t="s">
        <v>49</v>
      </c>
      <c r="B211" s="18" t="s">
        <v>261</v>
      </c>
      <c r="C211" s="18" t="s">
        <v>2</v>
      </c>
      <c r="D211" s="18" t="s">
        <v>445</v>
      </c>
    </row>
    <row r="212" spans="1:4" x14ac:dyDescent="0.25">
      <c r="A212" s="18" t="s">
        <v>49</v>
      </c>
      <c r="B212" s="18" t="s">
        <v>261</v>
      </c>
      <c r="C212" s="18" t="s">
        <v>3</v>
      </c>
      <c r="D212" s="18" t="s">
        <v>446</v>
      </c>
    </row>
    <row r="213" spans="1:4" x14ac:dyDescent="0.25">
      <c r="A213" s="18" t="s">
        <v>49</v>
      </c>
      <c r="B213" s="18" t="s">
        <v>261</v>
      </c>
      <c r="C213" s="18" t="s">
        <v>4</v>
      </c>
      <c r="D213" s="18" t="s">
        <v>447</v>
      </c>
    </row>
    <row r="214" spans="1:4" x14ac:dyDescent="0.25">
      <c r="A214" s="18" t="s">
        <v>49</v>
      </c>
      <c r="B214" s="18" t="s">
        <v>261</v>
      </c>
      <c r="C214" s="18" t="s">
        <v>5</v>
      </c>
      <c r="D214" s="18" t="s">
        <v>448</v>
      </c>
    </row>
    <row r="215" spans="1:4" x14ac:dyDescent="0.25">
      <c r="A215" s="18" t="s">
        <v>49</v>
      </c>
      <c r="B215" s="18" t="s">
        <v>261</v>
      </c>
      <c r="C215" s="18" t="s">
        <v>6</v>
      </c>
      <c r="D215" s="18" t="s">
        <v>449</v>
      </c>
    </row>
    <row r="216" spans="1:4" x14ac:dyDescent="0.25">
      <c r="A216" s="18" t="s">
        <v>49</v>
      </c>
      <c r="B216" s="18" t="s">
        <v>261</v>
      </c>
      <c r="C216" s="18" t="s">
        <v>34</v>
      </c>
      <c r="D216" s="18" t="s">
        <v>450</v>
      </c>
    </row>
    <row r="217" spans="1:4" x14ac:dyDescent="0.25">
      <c r="A217" s="18" t="s">
        <v>49</v>
      </c>
      <c r="B217" s="18" t="s">
        <v>261</v>
      </c>
      <c r="C217" s="18" t="s">
        <v>35</v>
      </c>
      <c r="D217" s="18" t="s">
        <v>451</v>
      </c>
    </row>
    <row r="218" spans="1:4" x14ac:dyDescent="0.25">
      <c r="A218" s="19" t="s">
        <v>49</v>
      </c>
      <c r="B218" s="19" t="s">
        <v>271</v>
      </c>
      <c r="C218" s="19" t="s">
        <v>149</v>
      </c>
      <c r="D218" s="19" t="s">
        <v>452</v>
      </c>
    </row>
    <row r="219" spans="1:4" x14ac:dyDescent="0.25">
      <c r="A219" s="19" t="s">
        <v>49</v>
      </c>
      <c r="B219" s="19" t="s">
        <v>271</v>
      </c>
      <c r="C219" s="19" t="s">
        <v>0</v>
      </c>
      <c r="D219" s="19" t="s">
        <v>453</v>
      </c>
    </row>
    <row r="220" spans="1:4" x14ac:dyDescent="0.25">
      <c r="A220" s="19" t="s">
        <v>49</v>
      </c>
      <c r="B220" s="19" t="s">
        <v>271</v>
      </c>
      <c r="C220" s="19" t="s">
        <v>2</v>
      </c>
      <c r="D220" s="19" t="s">
        <v>454</v>
      </c>
    </row>
    <row r="221" spans="1:4" x14ac:dyDescent="0.25">
      <c r="A221" s="19" t="s">
        <v>49</v>
      </c>
      <c r="B221" s="19" t="s">
        <v>271</v>
      </c>
      <c r="C221" s="19" t="s">
        <v>3</v>
      </c>
      <c r="D221" s="19" t="s">
        <v>455</v>
      </c>
    </row>
    <row r="222" spans="1:4" x14ac:dyDescent="0.25">
      <c r="A222" s="19" t="s">
        <v>49</v>
      </c>
      <c r="B222" s="19" t="s">
        <v>271</v>
      </c>
      <c r="C222" s="19" t="s">
        <v>4</v>
      </c>
      <c r="D222" s="19" t="s">
        <v>456</v>
      </c>
    </row>
    <row r="223" spans="1:4" x14ac:dyDescent="0.25">
      <c r="A223" s="19" t="s">
        <v>49</v>
      </c>
      <c r="B223" s="19" t="s">
        <v>271</v>
      </c>
      <c r="C223" s="19" t="s">
        <v>5</v>
      </c>
      <c r="D223" s="19" t="s">
        <v>457</v>
      </c>
    </row>
    <row r="224" spans="1:4" x14ac:dyDescent="0.25">
      <c r="A224" s="19" t="s">
        <v>49</v>
      </c>
      <c r="B224" s="19" t="s">
        <v>271</v>
      </c>
      <c r="C224" s="19" t="s">
        <v>6</v>
      </c>
      <c r="D224" s="19" t="s">
        <v>458</v>
      </c>
    </row>
    <row r="225" spans="1:4" x14ac:dyDescent="0.25">
      <c r="A225" s="19" t="s">
        <v>49</v>
      </c>
      <c r="B225" s="19" t="s">
        <v>271</v>
      </c>
      <c r="C225" s="19" t="s">
        <v>34</v>
      </c>
      <c r="D225" s="19" t="s">
        <v>459</v>
      </c>
    </row>
    <row r="226" spans="1:4" x14ac:dyDescent="0.25">
      <c r="A226" s="19" t="s">
        <v>49</v>
      </c>
      <c r="B226" s="19" t="s">
        <v>271</v>
      </c>
      <c r="C226" s="19" t="s">
        <v>35</v>
      </c>
      <c r="D226" s="19" t="s">
        <v>460</v>
      </c>
    </row>
    <row r="227" spans="1:4" x14ac:dyDescent="0.25">
      <c r="A227" s="15" t="s">
        <v>50</v>
      </c>
      <c r="B227" s="15" t="s">
        <v>231</v>
      </c>
      <c r="C227" s="15" t="s">
        <v>149</v>
      </c>
      <c r="D227" s="15" t="s">
        <v>461</v>
      </c>
    </row>
    <row r="228" spans="1:4" x14ac:dyDescent="0.25">
      <c r="A228" s="15" t="s">
        <v>50</v>
      </c>
      <c r="B228" s="15" t="s">
        <v>231</v>
      </c>
      <c r="C228" s="15" t="s">
        <v>0</v>
      </c>
      <c r="D228" s="15" t="s">
        <v>462</v>
      </c>
    </row>
    <row r="229" spans="1:4" x14ac:dyDescent="0.25">
      <c r="A229" s="15" t="s">
        <v>50</v>
      </c>
      <c r="B229" s="15" t="s">
        <v>231</v>
      </c>
      <c r="C229" s="15" t="s">
        <v>2</v>
      </c>
      <c r="D229" s="15" t="s">
        <v>463</v>
      </c>
    </row>
    <row r="230" spans="1:4" x14ac:dyDescent="0.25">
      <c r="A230" s="15" t="s">
        <v>50</v>
      </c>
      <c r="B230" s="15" t="s">
        <v>231</v>
      </c>
      <c r="C230" s="15" t="s">
        <v>3</v>
      </c>
      <c r="D230" s="15" t="s">
        <v>464</v>
      </c>
    </row>
    <row r="231" spans="1:4" x14ac:dyDescent="0.25">
      <c r="A231" s="15" t="s">
        <v>50</v>
      </c>
      <c r="B231" s="15" t="s">
        <v>231</v>
      </c>
      <c r="C231" s="15" t="s">
        <v>4</v>
      </c>
      <c r="D231" s="15" t="s">
        <v>465</v>
      </c>
    </row>
    <row r="232" spans="1:4" x14ac:dyDescent="0.25">
      <c r="A232" s="15" t="s">
        <v>50</v>
      </c>
      <c r="B232" s="15" t="s">
        <v>231</v>
      </c>
      <c r="C232" s="15" t="s">
        <v>5</v>
      </c>
      <c r="D232" s="15" t="s">
        <v>466</v>
      </c>
    </row>
    <row r="233" spans="1:4" x14ac:dyDescent="0.25">
      <c r="A233" s="15" t="s">
        <v>50</v>
      </c>
      <c r="B233" s="15" t="s">
        <v>231</v>
      </c>
      <c r="C233" s="15" t="s">
        <v>6</v>
      </c>
      <c r="D233" s="15" t="s">
        <v>467</v>
      </c>
    </row>
    <row r="234" spans="1:4" x14ac:dyDescent="0.25">
      <c r="A234" s="15" t="s">
        <v>50</v>
      </c>
      <c r="B234" s="15" t="s">
        <v>231</v>
      </c>
      <c r="C234" s="15" t="s">
        <v>34</v>
      </c>
      <c r="D234" s="15" t="s">
        <v>468</v>
      </c>
    </row>
    <row r="235" spans="1:4" x14ac:dyDescent="0.25">
      <c r="A235" s="15" t="s">
        <v>50</v>
      </c>
      <c r="B235" s="15" t="s">
        <v>231</v>
      </c>
      <c r="C235" s="15" t="s">
        <v>35</v>
      </c>
      <c r="D235" s="15" t="s">
        <v>469</v>
      </c>
    </row>
    <row r="236" spans="1:4" x14ac:dyDescent="0.25">
      <c r="A236" s="16" t="s">
        <v>50</v>
      </c>
      <c r="B236" s="16" t="s">
        <v>241</v>
      </c>
      <c r="C236" s="16" t="s">
        <v>149</v>
      </c>
      <c r="D236" s="16" t="s">
        <v>470</v>
      </c>
    </row>
    <row r="237" spans="1:4" x14ac:dyDescent="0.25">
      <c r="A237" s="16" t="s">
        <v>50</v>
      </c>
      <c r="B237" s="16" t="s">
        <v>241</v>
      </c>
      <c r="C237" s="16" t="s">
        <v>0</v>
      </c>
      <c r="D237" s="16" t="s">
        <v>471</v>
      </c>
    </row>
    <row r="238" spans="1:4" x14ac:dyDescent="0.25">
      <c r="A238" s="16" t="s">
        <v>50</v>
      </c>
      <c r="B238" s="16" t="s">
        <v>241</v>
      </c>
      <c r="C238" s="16" t="s">
        <v>2</v>
      </c>
      <c r="D238" s="16" t="s">
        <v>472</v>
      </c>
    </row>
    <row r="239" spans="1:4" x14ac:dyDescent="0.25">
      <c r="A239" s="16" t="s">
        <v>50</v>
      </c>
      <c r="B239" s="16" t="s">
        <v>241</v>
      </c>
      <c r="C239" s="16" t="s">
        <v>3</v>
      </c>
      <c r="D239" s="16" t="s">
        <v>473</v>
      </c>
    </row>
    <row r="240" spans="1:4" x14ac:dyDescent="0.25">
      <c r="A240" s="16" t="s">
        <v>50</v>
      </c>
      <c r="B240" s="16" t="s">
        <v>241</v>
      </c>
      <c r="C240" s="16" t="s">
        <v>4</v>
      </c>
      <c r="D240" s="16" t="s">
        <v>474</v>
      </c>
    </row>
    <row r="241" spans="1:4" x14ac:dyDescent="0.25">
      <c r="A241" s="16" t="s">
        <v>50</v>
      </c>
      <c r="B241" s="16" t="s">
        <v>241</v>
      </c>
      <c r="C241" s="16" t="s">
        <v>5</v>
      </c>
      <c r="D241" s="16" t="s">
        <v>475</v>
      </c>
    </row>
    <row r="242" spans="1:4" x14ac:dyDescent="0.25">
      <c r="A242" s="16" t="s">
        <v>50</v>
      </c>
      <c r="B242" s="16" t="s">
        <v>241</v>
      </c>
      <c r="C242" s="16" t="s">
        <v>6</v>
      </c>
      <c r="D242" s="16" t="s">
        <v>476</v>
      </c>
    </row>
    <row r="243" spans="1:4" x14ac:dyDescent="0.25">
      <c r="A243" s="16" t="s">
        <v>50</v>
      </c>
      <c r="B243" s="16" t="s">
        <v>241</v>
      </c>
      <c r="C243" s="16" t="s">
        <v>34</v>
      </c>
      <c r="D243" s="16" t="s">
        <v>477</v>
      </c>
    </row>
    <row r="244" spans="1:4" x14ac:dyDescent="0.25">
      <c r="A244" s="16" t="s">
        <v>50</v>
      </c>
      <c r="B244" s="16" t="s">
        <v>241</v>
      </c>
      <c r="C244" s="16" t="s">
        <v>35</v>
      </c>
      <c r="D244" s="16" t="s">
        <v>478</v>
      </c>
    </row>
    <row r="245" spans="1:4" x14ac:dyDescent="0.25">
      <c r="A245" s="17" t="s">
        <v>50</v>
      </c>
      <c r="B245" s="17" t="s">
        <v>251</v>
      </c>
      <c r="C245" s="17" t="s">
        <v>149</v>
      </c>
      <c r="D245" s="17" t="s">
        <v>479</v>
      </c>
    </row>
    <row r="246" spans="1:4" x14ac:dyDescent="0.25">
      <c r="A246" s="17" t="s">
        <v>50</v>
      </c>
      <c r="B246" s="17" t="s">
        <v>251</v>
      </c>
      <c r="C246" s="17" t="s">
        <v>0</v>
      </c>
      <c r="D246" s="17" t="s">
        <v>480</v>
      </c>
    </row>
    <row r="247" spans="1:4" x14ac:dyDescent="0.25">
      <c r="A247" s="17" t="s">
        <v>50</v>
      </c>
      <c r="B247" s="17" t="s">
        <v>251</v>
      </c>
      <c r="C247" s="17" t="s">
        <v>2</v>
      </c>
      <c r="D247" s="17" t="s">
        <v>481</v>
      </c>
    </row>
    <row r="248" spans="1:4" x14ac:dyDescent="0.25">
      <c r="A248" s="17" t="s">
        <v>50</v>
      </c>
      <c r="B248" s="17" t="s">
        <v>251</v>
      </c>
      <c r="C248" s="17" t="s">
        <v>3</v>
      </c>
      <c r="D248" s="17" t="s">
        <v>482</v>
      </c>
    </row>
    <row r="249" spans="1:4" x14ac:dyDescent="0.25">
      <c r="A249" s="17" t="s">
        <v>50</v>
      </c>
      <c r="B249" s="17" t="s">
        <v>251</v>
      </c>
      <c r="C249" s="17" t="s">
        <v>4</v>
      </c>
      <c r="D249" s="17" t="s">
        <v>483</v>
      </c>
    </row>
    <row r="250" spans="1:4" x14ac:dyDescent="0.25">
      <c r="A250" s="17" t="s">
        <v>50</v>
      </c>
      <c r="B250" s="17" t="s">
        <v>251</v>
      </c>
      <c r="C250" s="17" t="s">
        <v>5</v>
      </c>
      <c r="D250" s="17" t="s">
        <v>484</v>
      </c>
    </row>
    <row r="251" spans="1:4" x14ac:dyDescent="0.25">
      <c r="A251" s="17" t="s">
        <v>50</v>
      </c>
      <c r="B251" s="17" t="s">
        <v>251</v>
      </c>
      <c r="C251" s="17" t="s">
        <v>6</v>
      </c>
      <c r="D251" s="17" t="s">
        <v>485</v>
      </c>
    </row>
    <row r="252" spans="1:4" x14ac:dyDescent="0.25">
      <c r="A252" s="17" t="s">
        <v>50</v>
      </c>
      <c r="B252" s="17" t="s">
        <v>251</v>
      </c>
      <c r="C252" s="17" t="s">
        <v>34</v>
      </c>
      <c r="D252" s="17" t="s">
        <v>486</v>
      </c>
    </row>
    <row r="253" spans="1:4" x14ac:dyDescent="0.25">
      <c r="A253" s="17" t="s">
        <v>50</v>
      </c>
      <c r="B253" s="17" t="s">
        <v>251</v>
      </c>
      <c r="C253" s="17" t="s">
        <v>35</v>
      </c>
      <c r="D253" s="17" t="s">
        <v>487</v>
      </c>
    </row>
    <row r="254" spans="1:4" x14ac:dyDescent="0.25">
      <c r="A254" s="18" t="s">
        <v>50</v>
      </c>
      <c r="B254" s="18" t="s">
        <v>261</v>
      </c>
      <c r="C254" s="18" t="s">
        <v>149</v>
      </c>
      <c r="D254" s="18" t="s">
        <v>488</v>
      </c>
    </row>
    <row r="255" spans="1:4" x14ac:dyDescent="0.25">
      <c r="A255" s="18" t="s">
        <v>50</v>
      </c>
      <c r="B255" s="18" t="s">
        <v>261</v>
      </c>
      <c r="C255" s="18" t="s">
        <v>0</v>
      </c>
      <c r="D255" s="18" t="s">
        <v>489</v>
      </c>
    </row>
    <row r="256" spans="1:4" x14ac:dyDescent="0.25">
      <c r="A256" s="18" t="s">
        <v>50</v>
      </c>
      <c r="B256" s="18" t="s">
        <v>261</v>
      </c>
      <c r="C256" s="18" t="s">
        <v>2</v>
      </c>
      <c r="D256" s="18" t="s">
        <v>490</v>
      </c>
    </row>
    <row r="257" spans="1:4" x14ac:dyDescent="0.25">
      <c r="A257" s="18" t="s">
        <v>50</v>
      </c>
      <c r="B257" s="18" t="s">
        <v>261</v>
      </c>
      <c r="C257" s="18" t="s">
        <v>3</v>
      </c>
      <c r="D257" s="18" t="s">
        <v>491</v>
      </c>
    </row>
    <row r="258" spans="1:4" x14ac:dyDescent="0.25">
      <c r="A258" s="18" t="s">
        <v>50</v>
      </c>
      <c r="B258" s="18" t="s">
        <v>261</v>
      </c>
      <c r="C258" s="18" t="s">
        <v>4</v>
      </c>
      <c r="D258" s="18" t="s">
        <v>492</v>
      </c>
    </row>
    <row r="259" spans="1:4" x14ac:dyDescent="0.25">
      <c r="A259" s="18" t="s">
        <v>50</v>
      </c>
      <c r="B259" s="18" t="s">
        <v>261</v>
      </c>
      <c r="C259" s="18" t="s">
        <v>5</v>
      </c>
      <c r="D259" s="18" t="s">
        <v>493</v>
      </c>
    </row>
    <row r="260" spans="1:4" x14ac:dyDescent="0.25">
      <c r="A260" s="18" t="s">
        <v>50</v>
      </c>
      <c r="B260" s="18" t="s">
        <v>261</v>
      </c>
      <c r="C260" s="18" t="s">
        <v>6</v>
      </c>
      <c r="D260" s="18" t="s">
        <v>494</v>
      </c>
    </row>
    <row r="261" spans="1:4" x14ac:dyDescent="0.25">
      <c r="A261" s="18" t="s">
        <v>50</v>
      </c>
      <c r="B261" s="18" t="s">
        <v>261</v>
      </c>
      <c r="C261" s="18" t="s">
        <v>34</v>
      </c>
      <c r="D261" s="18" t="s">
        <v>495</v>
      </c>
    </row>
    <row r="262" spans="1:4" x14ac:dyDescent="0.25">
      <c r="A262" s="18" t="s">
        <v>50</v>
      </c>
      <c r="B262" s="18" t="s">
        <v>261</v>
      </c>
      <c r="C262" s="18" t="s">
        <v>35</v>
      </c>
      <c r="D262" s="18" t="s">
        <v>496</v>
      </c>
    </row>
    <row r="263" spans="1:4" x14ac:dyDescent="0.25">
      <c r="A263" s="19" t="s">
        <v>50</v>
      </c>
      <c r="B263" s="19" t="s">
        <v>271</v>
      </c>
      <c r="C263" s="19" t="s">
        <v>149</v>
      </c>
      <c r="D263" s="19" t="s">
        <v>497</v>
      </c>
    </row>
    <row r="264" spans="1:4" x14ac:dyDescent="0.25">
      <c r="A264" s="19" t="s">
        <v>50</v>
      </c>
      <c r="B264" s="19" t="s">
        <v>271</v>
      </c>
      <c r="C264" s="19" t="s">
        <v>0</v>
      </c>
      <c r="D264" s="19" t="s">
        <v>498</v>
      </c>
    </row>
    <row r="265" spans="1:4" x14ac:dyDescent="0.25">
      <c r="A265" s="19" t="s">
        <v>50</v>
      </c>
      <c r="B265" s="19" t="s">
        <v>271</v>
      </c>
      <c r="C265" s="19" t="s">
        <v>2</v>
      </c>
      <c r="D265" s="19" t="s">
        <v>499</v>
      </c>
    </row>
    <row r="266" spans="1:4" x14ac:dyDescent="0.25">
      <c r="A266" s="19" t="s">
        <v>50</v>
      </c>
      <c r="B266" s="19" t="s">
        <v>271</v>
      </c>
      <c r="C266" s="19" t="s">
        <v>3</v>
      </c>
      <c r="D266" s="19" t="s">
        <v>500</v>
      </c>
    </row>
    <row r="267" spans="1:4" x14ac:dyDescent="0.25">
      <c r="A267" s="19" t="s">
        <v>50</v>
      </c>
      <c r="B267" s="19" t="s">
        <v>271</v>
      </c>
      <c r="C267" s="19" t="s">
        <v>4</v>
      </c>
      <c r="D267" s="19" t="s">
        <v>501</v>
      </c>
    </row>
    <row r="268" spans="1:4" x14ac:dyDescent="0.25">
      <c r="A268" s="19" t="s">
        <v>50</v>
      </c>
      <c r="B268" s="19" t="s">
        <v>271</v>
      </c>
      <c r="C268" s="19" t="s">
        <v>5</v>
      </c>
      <c r="D268" s="19" t="s">
        <v>502</v>
      </c>
    </row>
    <row r="269" spans="1:4" x14ac:dyDescent="0.25">
      <c r="A269" s="19" t="s">
        <v>50</v>
      </c>
      <c r="B269" s="19" t="s">
        <v>271</v>
      </c>
      <c r="C269" s="19" t="s">
        <v>6</v>
      </c>
      <c r="D269" s="19" t="s">
        <v>503</v>
      </c>
    </row>
    <row r="270" spans="1:4" x14ac:dyDescent="0.25">
      <c r="A270" s="19" t="s">
        <v>50</v>
      </c>
      <c r="B270" s="19" t="s">
        <v>271</v>
      </c>
      <c r="C270" s="19" t="s">
        <v>34</v>
      </c>
      <c r="D270" s="19" t="s">
        <v>504</v>
      </c>
    </row>
    <row r="271" spans="1:4" x14ac:dyDescent="0.25">
      <c r="A271" s="19" t="s">
        <v>50</v>
      </c>
      <c r="B271" s="19" t="s">
        <v>271</v>
      </c>
      <c r="C271" s="19" t="s">
        <v>35</v>
      </c>
      <c r="D271" s="19" t="s">
        <v>505</v>
      </c>
    </row>
    <row r="272" spans="1:4" x14ac:dyDescent="0.25">
      <c r="A272" s="15" t="s">
        <v>53</v>
      </c>
      <c r="B272" s="15" t="s">
        <v>231</v>
      </c>
      <c r="C272" s="15" t="s">
        <v>149</v>
      </c>
      <c r="D272" s="15" t="s">
        <v>506</v>
      </c>
    </row>
    <row r="273" spans="1:4" x14ac:dyDescent="0.25">
      <c r="A273" s="15" t="s">
        <v>53</v>
      </c>
      <c r="B273" s="15" t="s">
        <v>231</v>
      </c>
      <c r="C273" s="15" t="s">
        <v>0</v>
      </c>
      <c r="D273" s="15" t="s">
        <v>507</v>
      </c>
    </row>
    <row r="274" spans="1:4" x14ac:dyDescent="0.25">
      <c r="A274" s="15" t="s">
        <v>53</v>
      </c>
      <c r="B274" s="15" t="s">
        <v>231</v>
      </c>
      <c r="C274" s="15" t="s">
        <v>2</v>
      </c>
      <c r="D274" s="15" t="s">
        <v>508</v>
      </c>
    </row>
    <row r="275" spans="1:4" x14ac:dyDescent="0.25">
      <c r="A275" s="15" t="s">
        <v>53</v>
      </c>
      <c r="B275" s="15" t="s">
        <v>231</v>
      </c>
      <c r="C275" s="15" t="s">
        <v>3</v>
      </c>
      <c r="D275" s="15" t="s">
        <v>509</v>
      </c>
    </row>
    <row r="276" spans="1:4" x14ac:dyDescent="0.25">
      <c r="A276" s="15" t="s">
        <v>53</v>
      </c>
      <c r="B276" s="15" t="s">
        <v>231</v>
      </c>
      <c r="C276" s="15" t="s">
        <v>4</v>
      </c>
      <c r="D276" s="15" t="s">
        <v>510</v>
      </c>
    </row>
    <row r="277" spans="1:4" x14ac:dyDescent="0.25">
      <c r="A277" s="15" t="s">
        <v>53</v>
      </c>
      <c r="B277" s="15" t="s">
        <v>231</v>
      </c>
      <c r="C277" s="15" t="s">
        <v>5</v>
      </c>
      <c r="D277" s="15" t="s">
        <v>511</v>
      </c>
    </row>
    <row r="278" spans="1:4" x14ac:dyDescent="0.25">
      <c r="A278" s="15" t="s">
        <v>53</v>
      </c>
      <c r="B278" s="15" t="s">
        <v>231</v>
      </c>
      <c r="C278" s="15" t="s">
        <v>6</v>
      </c>
      <c r="D278" s="15" t="s">
        <v>512</v>
      </c>
    </row>
    <row r="279" spans="1:4" x14ac:dyDescent="0.25">
      <c r="A279" s="15" t="s">
        <v>53</v>
      </c>
      <c r="B279" s="15" t="s">
        <v>231</v>
      </c>
      <c r="C279" s="15" t="s">
        <v>34</v>
      </c>
      <c r="D279" s="15" t="s">
        <v>513</v>
      </c>
    </row>
    <row r="280" spans="1:4" x14ac:dyDescent="0.25">
      <c r="A280" s="15" t="s">
        <v>53</v>
      </c>
      <c r="B280" s="15" t="s">
        <v>231</v>
      </c>
      <c r="C280" s="15" t="s">
        <v>35</v>
      </c>
      <c r="D280" s="15" t="s">
        <v>514</v>
      </c>
    </row>
    <row r="281" spans="1:4" x14ac:dyDescent="0.25">
      <c r="A281" s="16" t="s">
        <v>53</v>
      </c>
      <c r="B281" s="16" t="s">
        <v>241</v>
      </c>
      <c r="C281" s="16" t="s">
        <v>149</v>
      </c>
      <c r="D281" s="16" t="s">
        <v>515</v>
      </c>
    </row>
    <row r="282" spans="1:4" x14ac:dyDescent="0.25">
      <c r="A282" s="16" t="s">
        <v>53</v>
      </c>
      <c r="B282" s="16" t="s">
        <v>241</v>
      </c>
      <c r="C282" s="16" t="s">
        <v>0</v>
      </c>
      <c r="D282" s="16" t="s">
        <v>516</v>
      </c>
    </row>
    <row r="283" spans="1:4" x14ac:dyDescent="0.25">
      <c r="A283" s="16" t="s">
        <v>53</v>
      </c>
      <c r="B283" s="16" t="s">
        <v>241</v>
      </c>
      <c r="C283" s="16" t="s">
        <v>2</v>
      </c>
      <c r="D283" s="16" t="s">
        <v>517</v>
      </c>
    </row>
    <row r="284" spans="1:4" x14ac:dyDescent="0.25">
      <c r="A284" s="16" t="s">
        <v>53</v>
      </c>
      <c r="B284" s="16" t="s">
        <v>241</v>
      </c>
      <c r="C284" s="16" t="s">
        <v>3</v>
      </c>
      <c r="D284" s="16" t="s">
        <v>518</v>
      </c>
    </row>
    <row r="285" spans="1:4" x14ac:dyDescent="0.25">
      <c r="A285" s="16" t="s">
        <v>53</v>
      </c>
      <c r="B285" s="16" t="s">
        <v>241</v>
      </c>
      <c r="C285" s="16" t="s">
        <v>4</v>
      </c>
      <c r="D285" s="16" t="s">
        <v>519</v>
      </c>
    </row>
    <row r="286" spans="1:4" x14ac:dyDescent="0.25">
      <c r="A286" s="16" t="s">
        <v>53</v>
      </c>
      <c r="B286" s="16" t="s">
        <v>241</v>
      </c>
      <c r="C286" s="16" t="s">
        <v>5</v>
      </c>
      <c r="D286" s="16" t="s">
        <v>520</v>
      </c>
    </row>
    <row r="287" spans="1:4" x14ac:dyDescent="0.25">
      <c r="A287" s="16" t="s">
        <v>53</v>
      </c>
      <c r="B287" s="16" t="s">
        <v>241</v>
      </c>
      <c r="C287" s="16" t="s">
        <v>6</v>
      </c>
      <c r="D287" s="16" t="s">
        <v>521</v>
      </c>
    </row>
    <row r="288" spans="1:4" x14ac:dyDescent="0.25">
      <c r="A288" s="16" t="s">
        <v>53</v>
      </c>
      <c r="B288" s="16" t="s">
        <v>241</v>
      </c>
      <c r="C288" s="16" t="s">
        <v>34</v>
      </c>
      <c r="D288" s="16" t="s">
        <v>522</v>
      </c>
    </row>
    <row r="289" spans="1:4" x14ac:dyDescent="0.25">
      <c r="A289" s="16" t="s">
        <v>53</v>
      </c>
      <c r="B289" s="16" t="s">
        <v>241</v>
      </c>
      <c r="C289" s="16" t="s">
        <v>35</v>
      </c>
      <c r="D289" s="16" t="s">
        <v>523</v>
      </c>
    </row>
    <row r="290" spans="1:4" x14ac:dyDescent="0.25">
      <c r="A290" s="17" t="s">
        <v>53</v>
      </c>
      <c r="B290" s="17" t="s">
        <v>251</v>
      </c>
      <c r="C290" s="17" t="s">
        <v>149</v>
      </c>
      <c r="D290" s="17" t="s">
        <v>524</v>
      </c>
    </row>
    <row r="291" spans="1:4" x14ac:dyDescent="0.25">
      <c r="A291" s="17" t="s">
        <v>53</v>
      </c>
      <c r="B291" s="17" t="s">
        <v>251</v>
      </c>
      <c r="C291" s="17" t="s">
        <v>0</v>
      </c>
      <c r="D291" s="17" t="s">
        <v>525</v>
      </c>
    </row>
    <row r="292" spans="1:4" x14ac:dyDescent="0.25">
      <c r="A292" s="17" t="s">
        <v>53</v>
      </c>
      <c r="B292" s="17" t="s">
        <v>251</v>
      </c>
      <c r="C292" s="17" t="s">
        <v>2</v>
      </c>
      <c r="D292" s="17" t="s">
        <v>526</v>
      </c>
    </row>
    <row r="293" spans="1:4" x14ac:dyDescent="0.25">
      <c r="A293" s="17" t="s">
        <v>53</v>
      </c>
      <c r="B293" s="17" t="s">
        <v>251</v>
      </c>
      <c r="C293" s="17" t="s">
        <v>3</v>
      </c>
      <c r="D293" s="17" t="s">
        <v>527</v>
      </c>
    </row>
    <row r="294" spans="1:4" x14ac:dyDescent="0.25">
      <c r="A294" s="17" t="s">
        <v>53</v>
      </c>
      <c r="B294" s="17" t="s">
        <v>251</v>
      </c>
      <c r="C294" s="17" t="s">
        <v>4</v>
      </c>
      <c r="D294" s="17" t="s">
        <v>528</v>
      </c>
    </row>
    <row r="295" spans="1:4" x14ac:dyDescent="0.25">
      <c r="A295" s="17" t="s">
        <v>53</v>
      </c>
      <c r="B295" s="17" t="s">
        <v>251</v>
      </c>
      <c r="C295" s="17" t="s">
        <v>5</v>
      </c>
      <c r="D295" s="17" t="s">
        <v>529</v>
      </c>
    </row>
    <row r="296" spans="1:4" x14ac:dyDescent="0.25">
      <c r="A296" s="17" t="s">
        <v>53</v>
      </c>
      <c r="B296" s="17" t="s">
        <v>251</v>
      </c>
      <c r="C296" s="17" t="s">
        <v>6</v>
      </c>
      <c r="D296" s="17" t="s">
        <v>530</v>
      </c>
    </row>
    <row r="297" spans="1:4" x14ac:dyDescent="0.25">
      <c r="A297" s="17" t="s">
        <v>53</v>
      </c>
      <c r="B297" s="17" t="s">
        <v>251</v>
      </c>
      <c r="C297" s="17" t="s">
        <v>34</v>
      </c>
      <c r="D297" s="17" t="s">
        <v>531</v>
      </c>
    </row>
    <row r="298" spans="1:4" x14ac:dyDescent="0.25">
      <c r="A298" s="17" t="s">
        <v>53</v>
      </c>
      <c r="B298" s="17" t="s">
        <v>251</v>
      </c>
      <c r="C298" s="17" t="s">
        <v>35</v>
      </c>
      <c r="D298" s="17" t="s">
        <v>532</v>
      </c>
    </row>
    <row r="299" spans="1:4" x14ac:dyDescent="0.25">
      <c r="A299" s="18" t="s">
        <v>53</v>
      </c>
      <c r="B299" s="18" t="s">
        <v>261</v>
      </c>
      <c r="C299" s="18" t="s">
        <v>149</v>
      </c>
      <c r="D299" s="18" t="s">
        <v>533</v>
      </c>
    </row>
    <row r="300" spans="1:4" x14ac:dyDescent="0.25">
      <c r="A300" s="18" t="s">
        <v>53</v>
      </c>
      <c r="B300" s="18" t="s">
        <v>261</v>
      </c>
      <c r="C300" s="18" t="s">
        <v>0</v>
      </c>
      <c r="D300" s="18" t="s">
        <v>534</v>
      </c>
    </row>
    <row r="301" spans="1:4" x14ac:dyDescent="0.25">
      <c r="A301" s="18" t="s">
        <v>53</v>
      </c>
      <c r="B301" s="18" t="s">
        <v>261</v>
      </c>
      <c r="C301" s="18" t="s">
        <v>2</v>
      </c>
      <c r="D301" s="18" t="s">
        <v>535</v>
      </c>
    </row>
    <row r="302" spans="1:4" x14ac:dyDescent="0.25">
      <c r="A302" s="18" t="s">
        <v>53</v>
      </c>
      <c r="B302" s="18" t="s">
        <v>261</v>
      </c>
      <c r="C302" s="18" t="s">
        <v>3</v>
      </c>
      <c r="D302" s="18" t="s">
        <v>536</v>
      </c>
    </row>
    <row r="303" spans="1:4" x14ac:dyDescent="0.25">
      <c r="A303" s="18" t="s">
        <v>53</v>
      </c>
      <c r="B303" s="18" t="s">
        <v>261</v>
      </c>
      <c r="C303" s="18" t="s">
        <v>4</v>
      </c>
      <c r="D303" s="18" t="s">
        <v>537</v>
      </c>
    </row>
    <row r="304" spans="1:4" x14ac:dyDescent="0.25">
      <c r="A304" s="18" t="s">
        <v>53</v>
      </c>
      <c r="B304" s="18" t="s">
        <v>261</v>
      </c>
      <c r="C304" s="18" t="s">
        <v>5</v>
      </c>
      <c r="D304" s="18" t="s">
        <v>538</v>
      </c>
    </row>
    <row r="305" spans="1:4" x14ac:dyDescent="0.25">
      <c r="A305" s="18" t="s">
        <v>53</v>
      </c>
      <c r="B305" s="18" t="s">
        <v>261</v>
      </c>
      <c r="C305" s="18" t="s">
        <v>6</v>
      </c>
      <c r="D305" s="18" t="s">
        <v>539</v>
      </c>
    </row>
    <row r="306" spans="1:4" x14ac:dyDescent="0.25">
      <c r="A306" s="18" t="s">
        <v>53</v>
      </c>
      <c r="B306" s="18" t="s">
        <v>261</v>
      </c>
      <c r="C306" s="18" t="s">
        <v>34</v>
      </c>
      <c r="D306" s="18" t="s">
        <v>540</v>
      </c>
    </row>
    <row r="307" spans="1:4" x14ac:dyDescent="0.25">
      <c r="A307" s="18" t="s">
        <v>53</v>
      </c>
      <c r="B307" s="18" t="s">
        <v>261</v>
      </c>
      <c r="C307" s="18" t="s">
        <v>35</v>
      </c>
      <c r="D307" s="18" t="s">
        <v>541</v>
      </c>
    </row>
    <row r="308" spans="1:4" x14ac:dyDescent="0.25">
      <c r="A308" s="19" t="s">
        <v>53</v>
      </c>
      <c r="B308" s="19" t="s">
        <v>271</v>
      </c>
      <c r="C308" s="19" t="s">
        <v>149</v>
      </c>
      <c r="D308" s="19" t="s">
        <v>542</v>
      </c>
    </row>
    <row r="309" spans="1:4" x14ac:dyDescent="0.25">
      <c r="A309" s="19" t="s">
        <v>53</v>
      </c>
      <c r="B309" s="19" t="s">
        <v>271</v>
      </c>
      <c r="C309" s="19" t="s">
        <v>0</v>
      </c>
      <c r="D309" s="19" t="s">
        <v>543</v>
      </c>
    </row>
    <row r="310" spans="1:4" x14ac:dyDescent="0.25">
      <c r="A310" s="19" t="s">
        <v>53</v>
      </c>
      <c r="B310" s="19" t="s">
        <v>271</v>
      </c>
      <c r="C310" s="19" t="s">
        <v>2</v>
      </c>
      <c r="D310" s="19" t="s">
        <v>544</v>
      </c>
    </row>
    <row r="311" spans="1:4" x14ac:dyDescent="0.25">
      <c r="A311" s="19" t="s">
        <v>53</v>
      </c>
      <c r="B311" s="19" t="s">
        <v>271</v>
      </c>
      <c r="C311" s="19" t="s">
        <v>3</v>
      </c>
      <c r="D311" s="19" t="s">
        <v>545</v>
      </c>
    </row>
    <row r="312" spans="1:4" x14ac:dyDescent="0.25">
      <c r="A312" s="19" t="s">
        <v>53</v>
      </c>
      <c r="B312" s="19" t="s">
        <v>271</v>
      </c>
      <c r="C312" s="19" t="s">
        <v>4</v>
      </c>
      <c r="D312" s="19" t="s">
        <v>546</v>
      </c>
    </row>
    <row r="313" spans="1:4" x14ac:dyDescent="0.25">
      <c r="A313" s="19" t="s">
        <v>53</v>
      </c>
      <c r="B313" s="19" t="s">
        <v>271</v>
      </c>
      <c r="C313" s="19" t="s">
        <v>5</v>
      </c>
      <c r="D313" s="19" t="s">
        <v>547</v>
      </c>
    </row>
    <row r="314" spans="1:4" x14ac:dyDescent="0.25">
      <c r="A314" s="19" t="s">
        <v>53</v>
      </c>
      <c r="B314" s="19" t="s">
        <v>271</v>
      </c>
      <c r="C314" s="19" t="s">
        <v>6</v>
      </c>
      <c r="D314" s="19" t="s">
        <v>548</v>
      </c>
    </row>
    <row r="315" spans="1:4" x14ac:dyDescent="0.25">
      <c r="A315" s="19" t="s">
        <v>53</v>
      </c>
      <c r="B315" s="19" t="s">
        <v>271</v>
      </c>
      <c r="C315" s="19" t="s">
        <v>34</v>
      </c>
      <c r="D315" s="19" t="s">
        <v>549</v>
      </c>
    </row>
    <row r="316" spans="1:4" x14ac:dyDescent="0.25">
      <c r="A316" s="19" t="s">
        <v>53</v>
      </c>
      <c r="B316" s="19" t="s">
        <v>271</v>
      </c>
      <c r="C316" s="19" t="s">
        <v>35</v>
      </c>
      <c r="D316" s="19" t="s">
        <v>550</v>
      </c>
    </row>
    <row r="317" spans="1:4" x14ac:dyDescent="0.25">
      <c r="A317" s="15" t="s">
        <v>45</v>
      </c>
      <c r="B317" s="15" t="s">
        <v>231</v>
      </c>
      <c r="C317" s="15" t="s">
        <v>149</v>
      </c>
      <c r="D317" s="15" t="s">
        <v>551</v>
      </c>
    </row>
    <row r="318" spans="1:4" x14ac:dyDescent="0.25">
      <c r="A318" s="15" t="s">
        <v>45</v>
      </c>
      <c r="B318" s="15" t="s">
        <v>231</v>
      </c>
      <c r="C318" s="15" t="s">
        <v>0</v>
      </c>
      <c r="D318" s="15" t="s">
        <v>552</v>
      </c>
    </row>
    <row r="319" spans="1:4" x14ac:dyDescent="0.25">
      <c r="A319" s="15" t="s">
        <v>45</v>
      </c>
      <c r="B319" s="15" t="s">
        <v>231</v>
      </c>
      <c r="C319" s="15" t="s">
        <v>2</v>
      </c>
      <c r="D319" s="15" t="s">
        <v>553</v>
      </c>
    </row>
    <row r="320" spans="1:4" x14ac:dyDescent="0.25">
      <c r="A320" s="15" t="s">
        <v>45</v>
      </c>
      <c r="B320" s="15" t="s">
        <v>231</v>
      </c>
      <c r="C320" s="15" t="s">
        <v>3</v>
      </c>
      <c r="D320" s="15" t="s">
        <v>554</v>
      </c>
    </row>
    <row r="321" spans="1:4" x14ac:dyDescent="0.25">
      <c r="A321" s="15" t="s">
        <v>45</v>
      </c>
      <c r="B321" s="15" t="s">
        <v>231</v>
      </c>
      <c r="C321" s="15" t="s">
        <v>4</v>
      </c>
      <c r="D321" s="15" t="s">
        <v>555</v>
      </c>
    </row>
    <row r="322" spans="1:4" x14ac:dyDescent="0.25">
      <c r="A322" s="15" t="s">
        <v>45</v>
      </c>
      <c r="B322" s="15" t="s">
        <v>231</v>
      </c>
      <c r="C322" s="15" t="s">
        <v>5</v>
      </c>
      <c r="D322" s="15" t="s">
        <v>556</v>
      </c>
    </row>
    <row r="323" spans="1:4" x14ac:dyDescent="0.25">
      <c r="A323" s="15" t="s">
        <v>45</v>
      </c>
      <c r="B323" s="15" t="s">
        <v>231</v>
      </c>
      <c r="C323" s="15" t="s">
        <v>6</v>
      </c>
      <c r="D323" s="15" t="s">
        <v>557</v>
      </c>
    </row>
    <row r="324" spans="1:4" x14ac:dyDescent="0.25">
      <c r="A324" s="15" t="s">
        <v>45</v>
      </c>
      <c r="B324" s="15" t="s">
        <v>231</v>
      </c>
      <c r="C324" s="15" t="s">
        <v>34</v>
      </c>
      <c r="D324" s="15" t="s">
        <v>558</v>
      </c>
    </row>
    <row r="325" spans="1:4" x14ac:dyDescent="0.25">
      <c r="A325" s="15" t="s">
        <v>45</v>
      </c>
      <c r="B325" s="15" t="s">
        <v>231</v>
      </c>
      <c r="C325" s="15" t="s">
        <v>35</v>
      </c>
      <c r="D325" s="15" t="s">
        <v>559</v>
      </c>
    </row>
    <row r="326" spans="1:4" x14ac:dyDescent="0.25">
      <c r="A326" s="16" t="s">
        <v>45</v>
      </c>
      <c r="B326" s="16" t="s">
        <v>241</v>
      </c>
      <c r="C326" s="16" t="s">
        <v>149</v>
      </c>
      <c r="D326" s="16" t="s">
        <v>560</v>
      </c>
    </row>
    <row r="327" spans="1:4" x14ac:dyDescent="0.25">
      <c r="A327" s="16" t="s">
        <v>45</v>
      </c>
      <c r="B327" s="16" t="s">
        <v>241</v>
      </c>
      <c r="C327" s="16" t="s">
        <v>0</v>
      </c>
      <c r="D327" s="16" t="s">
        <v>561</v>
      </c>
    </row>
    <row r="328" spans="1:4" x14ac:dyDescent="0.25">
      <c r="A328" s="16" t="s">
        <v>45</v>
      </c>
      <c r="B328" s="16" t="s">
        <v>241</v>
      </c>
      <c r="C328" s="16" t="s">
        <v>2</v>
      </c>
      <c r="D328" s="16" t="s">
        <v>562</v>
      </c>
    </row>
    <row r="329" spans="1:4" x14ac:dyDescent="0.25">
      <c r="A329" s="16" t="s">
        <v>45</v>
      </c>
      <c r="B329" s="16" t="s">
        <v>241</v>
      </c>
      <c r="C329" s="16" t="s">
        <v>3</v>
      </c>
      <c r="D329" s="16" t="s">
        <v>563</v>
      </c>
    </row>
    <row r="330" spans="1:4" x14ac:dyDescent="0.25">
      <c r="A330" s="16" t="s">
        <v>45</v>
      </c>
      <c r="B330" s="16" t="s">
        <v>241</v>
      </c>
      <c r="C330" s="16" t="s">
        <v>4</v>
      </c>
      <c r="D330" s="16" t="s">
        <v>564</v>
      </c>
    </row>
    <row r="331" spans="1:4" x14ac:dyDescent="0.25">
      <c r="A331" s="16" t="s">
        <v>45</v>
      </c>
      <c r="B331" s="16" t="s">
        <v>241</v>
      </c>
      <c r="C331" s="16" t="s">
        <v>5</v>
      </c>
      <c r="D331" s="16" t="s">
        <v>565</v>
      </c>
    </row>
    <row r="332" spans="1:4" x14ac:dyDescent="0.25">
      <c r="A332" s="16" t="s">
        <v>45</v>
      </c>
      <c r="B332" s="16" t="s">
        <v>241</v>
      </c>
      <c r="C332" s="16" t="s">
        <v>6</v>
      </c>
      <c r="D332" s="16" t="s">
        <v>566</v>
      </c>
    </row>
    <row r="333" spans="1:4" x14ac:dyDescent="0.25">
      <c r="A333" s="16" t="s">
        <v>45</v>
      </c>
      <c r="B333" s="16" t="s">
        <v>241</v>
      </c>
      <c r="C333" s="16" t="s">
        <v>34</v>
      </c>
      <c r="D333" s="16" t="s">
        <v>567</v>
      </c>
    </row>
    <row r="334" spans="1:4" x14ac:dyDescent="0.25">
      <c r="A334" s="16" t="s">
        <v>45</v>
      </c>
      <c r="B334" s="16" t="s">
        <v>241</v>
      </c>
      <c r="C334" s="16" t="s">
        <v>35</v>
      </c>
      <c r="D334" s="16" t="s">
        <v>568</v>
      </c>
    </row>
    <row r="335" spans="1:4" x14ac:dyDescent="0.25">
      <c r="A335" s="17" t="s">
        <v>45</v>
      </c>
      <c r="B335" s="17" t="s">
        <v>251</v>
      </c>
      <c r="C335" s="17" t="s">
        <v>149</v>
      </c>
      <c r="D335" s="17" t="s">
        <v>569</v>
      </c>
    </row>
    <row r="336" spans="1:4" x14ac:dyDescent="0.25">
      <c r="A336" s="17" t="s">
        <v>45</v>
      </c>
      <c r="B336" s="17" t="s">
        <v>251</v>
      </c>
      <c r="C336" s="17" t="s">
        <v>0</v>
      </c>
      <c r="D336" s="17" t="s">
        <v>570</v>
      </c>
    </row>
    <row r="337" spans="1:4" x14ac:dyDescent="0.25">
      <c r="A337" s="17" t="s">
        <v>45</v>
      </c>
      <c r="B337" s="17" t="s">
        <v>251</v>
      </c>
      <c r="C337" s="17" t="s">
        <v>2</v>
      </c>
      <c r="D337" s="17" t="s">
        <v>571</v>
      </c>
    </row>
    <row r="338" spans="1:4" x14ac:dyDescent="0.25">
      <c r="A338" s="17" t="s">
        <v>45</v>
      </c>
      <c r="B338" s="17" t="s">
        <v>251</v>
      </c>
      <c r="C338" s="17" t="s">
        <v>3</v>
      </c>
      <c r="D338" s="17" t="s">
        <v>572</v>
      </c>
    </row>
    <row r="339" spans="1:4" x14ac:dyDescent="0.25">
      <c r="A339" s="17" t="s">
        <v>45</v>
      </c>
      <c r="B339" s="17" t="s">
        <v>251</v>
      </c>
      <c r="C339" s="17" t="s">
        <v>4</v>
      </c>
      <c r="D339" s="17" t="s">
        <v>573</v>
      </c>
    </row>
    <row r="340" spans="1:4" x14ac:dyDescent="0.25">
      <c r="A340" s="17" t="s">
        <v>45</v>
      </c>
      <c r="B340" s="17" t="s">
        <v>251</v>
      </c>
      <c r="C340" s="17" t="s">
        <v>5</v>
      </c>
      <c r="D340" s="17" t="s">
        <v>574</v>
      </c>
    </row>
    <row r="341" spans="1:4" x14ac:dyDescent="0.25">
      <c r="A341" s="17" t="s">
        <v>45</v>
      </c>
      <c r="B341" s="17" t="s">
        <v>251</v>
      </c>
      <c r="C341" s="17" t="s">
        <v>6</v>
      </c>
      <c r="D341" s="17" t="s">
        <v>575</v>
      </c>
    </row>
    <row r="342" spans="1:4" x14ac:dyDescent="0.25">
      <c r="A342" s="17" t="s">
        <v>45</v>
      </c>
      <c r="B342" s="17" t="s">
        <v>251</v>
      </c>
      <c r="C342" s="17" t="s">
        <v>34</v>
      </c>
      <c r="D342" s="17" t="s">
        <v>576</v>
      </c>
    </row>
    <row r="343" spans="1:4" x14ac:dyDescent="0.25">
      <c r="A343" s="17" t="s">
        <v>45</v>
      </c>
      <c r="B343" s="17" t="s">
        <v>251</v>
      </c>
      <c r="C343" s="17" t="s">
        <v>35</v>
      </c>
      <c r="D343" s="17" t="s">
        <v>577</v>
      </c>
    </row>
    <row r="344" spans="1:4" x14ac:dyDescent="0.25">
      <c r="A344" s="18" t="s">
        <v>45</v>
      </c>
      <c r="B344" s="18" t="s">
        <v>261</v>
      </c>
      <c r="C344" s="18" t="s">
        <v>149</v>
      </c>
      <c r="D344" s="18" t="s">
        <v>578</v>
      </c>
    </row>
    <row r="345" spans="1:4" x14ac:dyDescent="0.25">
      <c r="A345" s="18" t="s">
        <v>45</v>
      </c>
      <c r="B345" s="18" t="s">
        <v>261</v>
      </c>
      <c r="C345" s="18" t="s">
        <v>0</v>
      </c>
      <c r="D345" s="18" t="s">
        <v>579</v>
      </c>
    </row>
    <row r="346" spans="1:4" x14ac:dyDescent="0.25">
      <c r="A346" s="18" t="s">
        <v>45</v>
      </c>
      <c r="B346" s="18" t="s">
        <v>261</v>
      </c>
      <c r="C346" s="18" t="s">
        <v>2</v>
      </c>
      <c r="D346" s="18" t="s">
        <v>580</v>
      </c>
    </row>
    <row r="347" spans="1:4" x14ac:dyDescent="0.25">
      <c r="A347" s="18" t="s">
        <v>45</v>
      </c>
      <c r="B347" s="18" t="s">
        <v>261</v>
      </c>
      <c r="C347" s="18" t="s">
        <v>3</v>
      </c>
      <c r="D347" s="18" t="s">
        <v>581</v>
      </c>
    </row>
    <row r="348" spans="1:4" x14ac:dyDescent="0.25">
      <c r="A348" s="18" t="s">
        <v>45</v>
      </c>
      <c r="B348" s="18" t="s">
        <v>261</v>
      </c>
      <c r="C348" s="18" t="s">
        <v>4</v>
      </c>
      <c r="D348" s="18" t="s">
        <v>582</v>
      </c>
    </row>
    <row r="349" spans="1:4" x14ac:dyDescent="0.25">
      <c r="A349" s="18" t="s">
        <v>45</v>
      </c>
      <c r="B349" s="18" t="s">
        <v>261</v>
      </c>
      <c r="C349" s="18" t="s">
        <v>5</v>
      </c>
      <c r="D349" s="18" t="s">
        <v>583</v>
      </c>
    </row>
    <row r="350" spans="1:4" x14ac:dyDescent="0.25">
      <c r="A350" s="18" t="s">
        <v>45</v>
      </c>
      <c r="B350" s="18" t="s">
        <v>261</v>
      </c>
      <c r="C350" s="18" t="s">
        <v>6</v>
      </c>
      <c r="D350" s="18" t="s">
        <v>584</v>
      </c>
    </row>
    <row r="351" spans="1:4" x14ac:dyDescent="0.25">
      <c r="A351" s="18" t="s">
        <v>45</v>
      </c>
      <c r="B351" s="18" t="s">
        <v>261</v>
      </c>
      <c r="C351" s="18" t="s">
        <v>34</v>
      </c>
      <c r="D351" s="18" t="s">
        <v>585</v>
      </c>
    </row>
    <row r="352" spans="1:4" x14ac:dyDescent="0.25">
      <c r="A352" s="18" t="s">
        <v>45</v>
      </c>
      <c r="B352" s="18" t="s">
        <v>261</v>
      </c>
      <c r="C352" s="18" t="s">
        <v>35</v>
      </c>
      <c r="D352" s="18" t="s">
        <v>586</v>
      </c>
    </row>
    <row r="353" spans="1:4" x14ac:dyDescent="0.25">
      <c r="A353" s="19" t="s">
        <v>45</v>
      </c>
      <c r="B353" s="19" t="s">
        <v>271</v>
      </c>
      <c r="C353" s="19" t="s">
        <v>149</v>
      </c>
      <c r="D353" s="19" t="s">
        <v>587</v>
      </c>
    </row>
    <row r="354" spans="1:4" x14ac:dyDescent="0.25">
      <c r="A354" s="19" t="s">
        <v>45</v>
      </c>
      <c r="B354" s="19" t="s">
        <v>271</v>
      </c>
      <c r="C354" s="19" t="s">
        <v>0</v>
      </c>
      <c r="D354" s="19" t="s">
        <v>588</v>
      </c>
    </row>
    <row r="355" spans="1:4" x14ac:dyDescent="0.25">
      <c r="A355" s="19" t="s">
        <v>45</v>
      </c>
      <c r="B355" s="19" t="s">
        <v>271</v>
      </c>
      <c r="C355" s="19" t="s">
        <v>2</v>
      </c>
      <c r="D355" s="19" t="s">
        <v>589</v>
      </c>
    </row>
    <row r="356" spans="1:4" x14ac:dyDescent="0.25">
      <c r="A356" s="19" t="s">
        <v>45</v>
      </c>
      <c r="B356" s="19" t="s">
        <v>271</v>
      </c>
      <c r="C356" s="19" t="s">
        <v>3</v>
      </c>
      <c r="D356" s="19" t="s">
        <v>590</v>
      </c>
    </row>
    <row r="357" spans="1:4" x14ac:dyDescent="0.25">
      <c r="A357" s="19" t="s">
        <v>45</v>
      </c>
      <c r="B357" s="19" t="s">
        <v>271</v>
      </c>
      <c r="C357" s="19" t="s">
        <v>4</v>
      </c>
      <c r="D357" s="19" t="s">
        <v>591</v>
      </c>
    </row>
    <row r="358" spans="1:4" x14ac:dyDescent="0.25">
      <c r="A358" s="19" t="s">
        <v>45</v>
      </c>
      <c r="B358" s="19" t="s">
        <v>271</v>
      </c>
      <c r="C358" s="19" t="s">
        <v>5</v>
      </c>
      <c r="D358" s="19" t="s">
        <v>592</v>
      </c>
    </row>
    <row r="359" spans="1:4" x14ac:dyDescent="0.25">
      <c r="A359" s="19" t="s">
        <v>45</v>
      </c>
      <c r="B359" s="19" t="s">
        <v>271</v>
      </c>
      <c r="C359" s="19" t="s">
        <v>6</v>
      </c>
      <c r="D359" s="19" t="s">
        <v>593</v>
      </c>
    </row>
    <row r="360" spans="1:4" x14ac:dyDescent="0.25">
      <c r="A360" s="19" t="s">
        <v>45</v>
      </c>
      <c r="B360" s="19" t="s">
        <v>271</v>
      </c>
      <c r="C360" s="19" t="s">
        <v>34</v>
      </c>
      <c r="D360" s="19" t="s">
        <v>594</v>
      </c>
    </row>
    <row r="361" spans="1:4" x14ac:dyDescent="0.25">
      <c r="A361" s="19" t="s">
        <v>45</v>
      </c>
      <c r="B361" s="19" t="s">
        <v>271</v>
      </c>
      <c r="C361" s="19" t="s">
        <v>35</v>
      </c>
      <c r="D361" s="19" t="s">
        <v>595</v>
      </c>
    </row>
    <row r="362" spans="1:4" x14ac:dyDescent="0.25">
      <c r="A362" s="15" t="s">
        <v>47</v>
      </c>
      <c r="B362" s="15" t="s">
        <v>231</v>
      </c>
      <c r="C362" s="15" t="s">
        <v>149</v>
      </c>
      <c r="D362" s="15" t="s">
        <v>596</v>
      </c>
    </row>
    <row r="363" spans="1:4" x14ac:dyDescent="0.25">
      <c r="A363" s="15" t="s">
        <v>47</v>
      </c>
      <c r="B363" s="15" t="s">
        <v>231</v>
      </c>
      <c r="C363" s="15" t="s">
        <v>0</v>
      </c>
      <c r="D363" s="15" t="s">
        <v>597</v>
      </c>
    </row>
    <row r="364" spans="1:4" x14ac:dyDescent="0.25">
      <c r="A364" s="15" t="s">
        <v>47</v>
      </c>
      <c r="B364" s="15" t="s">
        <v>231</v>
      </c>
      <c r="C364" s="15" t="s">
        <v>2</v>
      </c>
      <c r="D364" s="15" t="s">
        <v>598</v>
      </c>
    </row>
    <row r="365" spans="1:4" x14ac:dyDescent="0.25">
      <c r="A365" s="15" t="s">
        <v>47</v>
      </c>
      <c r="B365" s="15" t="s">
        <v>231</v>
      </c>
      <c r="C365" s="15" t="s">
        <v>3</v>
      </c>
      <c r="D365" s="15" t="s">
        <v>599</v>
      </c>
    </row>
    <row r="366" spans="1:4" x14ac:dyDescent="0.25">
      <c r="A366" s="15" t="s">
        <v>47</v>
      </c>
      <c r="B366" s="15" t="s">
        <v>231</v>
      </c>
      <c r="C366" s="15" t="s">
        <v>4</v>
      </c>
      <c r="D366" s="15" t="s">
        <v>600</v>
      </c>
    </row>
    <row r="367" spans="1:4" x14ac:dyDescent="0.25">
      <c r="A367" s="15" t="s">
        <v>47</v>
      </c>
      <c r="B367" s="15" t="s">
        <v>231</v>
      </c>
      <c r="C367" s="15" t="s">
        <v>5</v>
      </c>
      <c r="D367" s="15" t="s">
        <v>601</v>
      </c>
    </row>
    <row r="368" spans="1:4" x14ac:dyDescent="0.25">
      <c r="A368" s="15" t="s">
        <v>47</v>
      </c>
      <c r="B368" s="15" t="s">
        <v>231</v>
      </c>
      <c r="C368" s="15" t="s">
        <v>6</v>
      </c>
      <c r="D368" s="15" t="s">
        <v>602</v>
      </c>
    </row>
    <row r="369" spans="1:4" x14ac:dyDescent="0.25">
      <c r="A369" s="15" t="s">
        <v>47</v>
      </c>
      <c r="B369" s="15" t="s">
        <v>231</v>
      </c>
      <c r="C369" s="15" t="s">
        <v>34</v>
      </c>
      <c r="D369" s="15" t="s">
        <v>603</v>
      </c>
    </row>
    <row r="370" spans="1:4" x14ac:dyDescent="0.25">
      <c r="A370" s="15" t="s">
        <v>47</v>
      </c>
      <c r="B370" s="15" t="s">
        <v>231</v>
      </c>
      <c r="C370" s="15" t="s">
        <v>35</v>
      </c>
      <c r="D370" s="15" t="s">
        <v>604</v>
      </c>
    </row>
    <row r="371" spans="1:4" x14ac:dyDescent="0.25">
      <c r="A371" s="16" t="s">
        <v>47</v>
      </c>
      <c r="B371" s="16" t="s">
        <v>241</v>
      </c>
      <c r="C371" s="16" t="s">
        <v>149</v>
      </c>
      <c r="D371" s="16" t="s">
        <v>605</v>
      </c>
    </row>
    <row r="372" spans="1:4" x14ac:dyDescent="0.25">
      <c r="A372" s="16" t="s">
        <v>47</v>
      </c>
      <c r="B372" s="16" t="s">
        <v>241</v>
      </c>
      <c r="C372" s="16" t="s">
        <v>0</v>
      </c>
      <c r="D372" s="16" t="s">
        <v>606</v>
      </c>
    </row>
    <row r="373" spans="1:4" x14ac:dyDescent="0.25">
      <c r="A373" s="16" t="s">
        <v>47</v>
      </c>
      <c r="B373" s="16" t="s">
        <v>241</v>
      </c>
      <c r="C373" s="16" t="s">
        <v>2</v>
      </c>
      <c r="D373" s="16" t="s">
        <v>607</v>
      </c>
    </row>
    <row r="374" spans="1:4" x14ac:dyDescent="0.25">
      <c r="A374" s="16" t="s">
        <v>47</v>
      </c>
      <c r="B374" s="16" t="s">
        <v>241</v>
      </c>
      <c r="C374" s="16" t="s">
        <v>3</v>
      </c>
      <c r="D374" s="16" t="s">
        <v>608</v>
      </c>
    </row>
    <row r="375" spans="1:4" x14ac:dyDescent="0.25">
      <c r="A375" s="16" t="s">
        <v>47</v>
      </c>
      <c r="B375" s="16" t="s">
        <v>241</v>
      </c>
      <c r="C375" s="16" t="s">
        <v>4</v>
      </c>
      <c r="D375" s="16" t="s">
        <v>609</v>
      </c>
    </row>
    <row r="376" spans="1:4" x14ac:dyDescent="0.25">
      <c r="A376" s="16" t="s">
        <v>47</v>
      </c>
      <c r="B376" s="16" t="s">
        <v>241</v>
      </c>
      <c r="C376" s="16" t="s">
        <v>5</v>
      </c>
      <c r="D376" s="16" t="s">
        <v>610</v>
      </c>
    </row>
    <row r="377" spans="1:4" x14ac:dyDescent="0.25">
      <c r="A377" s="16" t="s">
        <v>47</v>
      </c>
      <c r="B377" s="16" t="s">
        <v>241</v>
      </c>
      <c r="C377" s="16" t="s">
        <v>6</v>
      </c>
      <c r="D377" s="16" t="s">
        <v>611</v>
      </c>
    </row>
    <row r="378" spans="1:4" x14ac:dyDescent="0.25">
      <c r="A378" s="16" t="s">
        <v>47</v>
      </c>
      <c r="B378" s="16" t="s">
        <v>241</v>
      </c>
      <c r="C378" s="16" t="s">
        <v>34</v>
      </c>
      <c r="D378" s="16" t="s">
        <v>612</v>
      </c>
    </row>
    <row r="379" spans="1:4" x14ac:dyDescent="0.25">
      <c r="A379" s="16" t="s">
        <v>47</v>
      </c>
      <c r="B379" s="16" t="s">
        <v>241</v>
      </c>
      <c r="C379" s="16" t="s">
        <v>35</v>
      </c>
      <c r="D379" s="16" t="s">
        <v>613</v>
      </c>
    </row>
    <row r="380" spans="1:4" x14ac:dyDescent="0.25">
      <c r="A380" s="17" t="s">
        <v>47</v>
      </c>
      <c r="B380" s="17" t="s">
        <v>251</v>
      </c>
      <c r="C380" s="17" t="s">
        <v>149</v>
      </c>
      <c r="D380" s="17" t="s">
        <v>614</v>
      </c>
    </row>
    <row r="381" spans="1:4" x14ac:dyDescent="0.25">
      <c r="A381" s="17" t="s">
        <v>47</v>
      </c>
      <c r="B381" s="17" t="s">
        <v>251</v>
      </c>
      <c r="C381" s="17" t="s">
        <v>0</v>
      </c>
      <c r="D381" s="17" t="s">
        <v>615</v>
      </c>
    </row>
    <row r="382" spans="1:4" x14ac:dyDescent="0.25">
      <c r="A382" s="17" t="s">
        <v>47</v>
      </c>
      <c r="B382" s="17" t="s">
        <v>251</v>
      </c>
      <c r="C382" s="17" t="s">
        <v>2</v>
      </c>
      <c r="D382" s="17" t="s">
        <v>616</v>
      </c>
    </row>
    <row r="383" spans="1:4" x14ac:dyDescent="0.25">
      <c r="A383" s="17" t="s">
        <v>47</v>
      </c>
      <c r="B383" s="17" t="s">
        <v>251</v>
      </c>
      <c r="C383" s="17" t="s">
        <v>3</v>
      </c>
      <c r="D383" s="17" t="s">
        <v>617</v>
      </c>
    </row>
    <row r="384" spans="1:4" x14ac:dyDescent="0.25">
      <c r="A384" s="17" t="s">
        <v>47</v>
      </c>
      <c r="B384" s="17" t="s">
        <v>251</v>
      </c>
      <c r="C384" s="17" t="s">
        <v>4</v>
      </c>
      <c r="D384" s="17" t="s">
        <v>618</v>
      </c>
    </row>
    <row r="385" spans="1:4" x14ac:dyDescent="0.25">
      <c r="A385" s="17" t="s">
        <v>47</v>
      </c>
      <c r="B385" s="17" t="s">
        <v>251</v>
      </c>
      <c r="C385" s="17" t="s">
        <v>5</v>
      </c>
      <c r="D385" s="17" t="s">
        <v>619</v>
      </c>
    </row>
    <row r="386" spans="1:4" x14ac:dyDescent="0.25">
      <c r="A386" s="17" t="s">
        <v>47</v>
      </c>
      <c r="B386" s="17" t="s">
        <v>251</v>
      </c>
      <c r="C386" s="17" t="s">
        <v>6</v>
      </c>
      <c r="D386" s="17" t="s">
        <v>620</v>
      </c>
    </row>
    <row r="387" spans="1:4" x14ac:dyDescent="0.25">
      <c r="A387" s="17" t="s">
        <v>47</v>
      </c>
      <c r="B387" s="17" t="s">
        <v>251</v>
      </c>
      <c r="C387" s="17" t="s">
        <v>34</v>
      </c>
      <c r="D387" s="17" t="s">
        <v>621</v>
      </c>
    </row>
    <row r="388" spans="1:4" x14ac:dyDescent="0.25">
      <c r="A388" s="17" t="s">
        <v>47</v>
      </c>
      <c r="B388" s="17" t="s">
        <v>251</v>
      </c>
      <c r="C388" s="17" t="s">
        <v>35</v>
      </c>
      <c r="D388" s="17" t="s">
        <v>622</v>
      </c>
    </row>
    <row r="389" spans="1:4" x14ac:dyDescent="0.25">
      <c r="A389" s="18" t="s">
        <v>47</v>
      </c>
      <c r="B389" s="18" t="s">
        <v>261</v>
      </c>
      <c r="C389" s="18" t="s">
        <v>149</v>
      </c>
      <c r="D389" s="18" t="s">
        <v>623</v>
      </c>
    </row>
    <row r="390" spans="1:4" x14ac:dyDescent="0.25">
      <c r="A390" s="18" t="s">
        <v>47</v>
      </c>
      <c r="B390" s="18" t="s">
        <v>261</v>
      </c>
      <c r="C390" s="18" t="s">
        <v>0</v>
      </c>
      <c r="D390" s="18" t="s">
        <v>624</v>
      </c>
    </row>
    <row r="391" spans="1:4" x14ac:dyDescent="0.25">
      <c r="A391" s="18" t="s">
        <v>47</v>
      </c>
      <c r="B391" s="18" t="s">
        <v>261</v>
      </c>
      <c r="C391" s="18" t="s">
        <v>2</v>
      </c>
      <c r="D391" s="18" t="s">
        <v>625</v>
      </c>
    </row>
    <row r="392" spans="1:4" x14ac:dyDescent="0.25">
      <c r="A392" s="18" t="s">
        <v>47</v>
      </c>
      <c r="B392" s="18" t="s">
        <v>261</v>
      </c>
      <c r="C392" s="18" t="s">
        <v>3</v>
      </c>
      <c r="D392" s="18" t="s">
        <v>626</v>
      </c>
    </row>
    <row r="393" spans="1:4" x14ac:dyDescent="0.25">
      <c r="A393" s="18" t="s">
        <v>47</v>
      </c>
      <c r="B393" s="18" t="s">
        <v>261</v>
      </c>
      <c r="C393" s="18" t="s">
        <v>4</v>
      </c>
      <c r="D393" s="18" t="s">
        <v>627</v>
      </c>
    </row>
    <row r="394" spans="1:4" x14ac:dyDescent="0.25">
      <c r="A394" s="18" t="s">
        <v>47</v>
      </c>
      <c r="B394" s="18" t="s">
        <v>261</v>
      </c>
      <c r="C394" s="18" t="s">
        <v>5</v>
      </c>
      <c r="D394" s="18" t="s">
        <v>628</v>
      </c>
    </row>
    <row r="395" spans="1:4" x14ac:dyDescent="0.25">
      <c r="A395" s="18" t="s">
        <v>47</v>
      </c>
      <c r="B395" s="18" t="s">
        <v>261</v>
      </c>
      <c r="C395" s="18" t="s">
        <v>6</v>
      </c>
      <c r="D395" s="18" t="s">
        <v>629</v>
      </c>
    </row>
    <row r="396" spans="1:4" x14ac:dyDescent="0.25">
      <c r="A396" s="18" t="s">
        <v>47</v>
      </c>
      <c r="B396" s="18" t="s">
        <v>261</v>
      </c>
      <c r="C396" s="18" t="s">
        <v>34</v>
      </c>
      <c r="D396" s="18" t="s">
        <v>630</v>
      </c>
    </row>
    <row r="397" spans="1:4" x14ac:dyDescent="0.25">
      <c r="A397" s="18" t="s">
        <v>47</v>
      </c>
      <c r="B397" s="18" t="s">
        <v>261</v>
      </c>
      <c r="C397" s="18" t="s">
        <v>35</v>
      </c>
      <c r="D397" s="18" t="s">
        <v>631</v>
      </c>
    </row>
    <row r="398" spans="1:4" x14ac:dyDescent="0.25">
      <c r="A398" s="19" t="s">
        <v>47</v>
      </c>
      <c r="B398" s="19" t="s">
        <v>271</v>
      </c>
      <c r="C398" s="19" t="s">
        <v>149</v>
      </c>
      <c r="D398" s="19" t="s">
        <v>632</v>
      </c>
    </row>
    <row r="399" spans="1:4" x14ac:dyDescent="0.25">
      <c r="A399" s="19" t="s">
        <v>47</v>
      </c>
      <c r="B399" s="19" t="s">
        <v>271</v>
      </c>
      <c r="C399" s="19" t="s">
        <v>0</v>
      </c>
      <c r="D399" s="19" t="s">
        <v>633</v>
      </c>
    </row>
    <row r="400" spans="1:4" x14ac:dyDescent="0.25">
      <c r="A400" s="19" t="s">
        <v>47</v>
      </c>
      <c r="B400" s="19" t="s">
        <v>271</v>
      </c>
      <c r="C400" s="19" t="s">
        <v>2</v>
      </c>
      <c r="D400" s="19" t="s">
        <v>634</v>
      </c>
    </row>
    <row r="401" spans="1:4" x14ac:dyDescent="0.25">
      <c r="A401" s="19" t="s">
        <v>47</v>
      </c>
      <c r="B401" s="19" t="s">
        <v>271</v>
      </c>
      <c r="C401" s="19" t="s">
        <v>3</v>
      </c>
      <c r="D401" s="19" t="s">
        <v>635</v>
      </c>
    </row>
    <row r="402" spans="1:4" x14ac:dyDescent="0.25">
      <c r="A402" s="19" t="s">
        <v>47</v>
      </c>
      <c r="B402" s="19" t="s">
        <v>271</v>
      </c>
      <c r="C402" s="19" t="s">
        <v>4</v>
      </c>
      <c r="D402" s="19" t="s">
        <v>636</v>
      </c>
    </row>
    <row r="403" spans="1:4" x14ac:dyDescent="0.25">
      <c r="A403" s="19" t="s">
        <v>47</v>
      </c>
      <c r="B403" s="19" t="s">
        <v>271</v>
      </c>
      <c r="C403" s="19" t="s">
        <v>5</v>
      </c>
      <c r="D403" s="19" t="s">
        <v>637</v>
      </c>
    </row>
    <row r="404" spans="1:4" x14ac:dyDescent="0.25">
      <c r="A404" s="19" t="s">
        <v>47</v>
      </c>
      <c r="B404" s="19" t="s">
        <v>271</v>
      </c>
      <c r="C404" s="19" t="s">
        <v>6</v>
      </c>
      <c r="D404" s="19" t="s">
        <v>638</v>
      </c>
    </row>
    <row r="405" spans="1:4" x14ac:dyDescent="0.25">
      <c r="A405" s="19" t="s">
        <v>47</v>
      </c>
      <c r="B405" s="19" t="s">
        <v>271</v>
      </c>
      <c r="C405" s="19" t="s">
        <v>34</v>
      </c>
      <c r="D405" s="19" t="s">
        <v>639</v>
      </c>
    </row>
    <row r="406" spans="1:4" x14ac:dyDescent="0.25">
      <c r="A406" s="19" t="s">
        <v>47</v>
      </c>
      <c r="B406" s="19" t="s">
        <v>271</v>
      </c>
      <c r="C406" s="19" t="s">
        <v>35</v>
      </c>
      <c r="D406" s="19" t="s">
        <v>640</v>
      </c>
    </row>
    <row r="407" spans="1:4" x14ac:dyDescent="0.25">
      <c r="A407" s="15" t="s">
        <v>40</v>
      </c>
      <c r="B407" s="15" t="s">
        <v>231</v>
      </c>
      <c r="C407" s="15" t="s">
        <v>149</v>
      </c>
      <c r="D407" s="15" t="s">
        <v>641</v>
      </c>
    </row>
    <row r="408" spans="1:4" x14ac:dyDescent="0.25">
      <c r="A408" s="15" t="s">
        <v>40</v>
      </c>
      <c r="B408" s="15" t="s">
        <v>231</v>
      </c>
      <c r="C408" s="15" t="s">
        <v>0</v>
      </c>
      <c r="D408" s="15" t="s">
        <v>642</v>
      </c>
    </row>
    <row r="409" spans="1:4" x14ac:dyDescent="0.25">
      <c r="A409" s="15" t="s">
        <v>40</v>
      </c>
      <c r="B409" s="15" t="s">
        <v>231</v>
      </c>
      <c r="C409" s="15" t="s">
        <v>2</v>
      </c>
      <c r="D409" s="15" t="s">
        <v>643</v>
      </c>
    </row>
    <row r="410" spans="1:4" x14ac:dyDescent="0.25">
      <c r="A410" s="15" t="s">
        <v>40</v>
      </c>
      <c r="B410" s="15" t="s">
        <v>231</v>
      </c>
      <c r="C410" s="15" t="s">
        <v>3</v>
      </c>
      <c r="D410" s="15" t="s">
        <v>644</v>
      </c>
    </row>
    <row r="411" spans="1:4" x14ac:dyDescent="0.25">
      <c r="A411" s="15" t="s">
        <v>40</v>
      </c>
      <c r="B411" s="15" t="s">
        <v>231</v>
      </c>
      <c r="C411" s="15" t="s">
        <v>4</v>
      </c>
      <c r="D411" s="15" t="s">
        <v>645</v>
      </c>
    </row>
    <row r="412" spans="1:4" x14ac:dyDescent="0.25">
      <c r="A412" s="15" t="s">
        <v>40</v>
      </c>
      <c r="B412" s="15" t="s">
        <v>231</v>
      </c>
      <c r="C412" s="15" t="s">
        <v>5</v>
      </c>
      <c r="D412" s="15" t="s">
        <v>646</v>
      </c>
    </row>
    <row r="413" spans="1:4" x14ac:dyDescent="0.25">
      <c r="A413" s="15" t="s">
        <v>40</v>
      </c>
      <c r="B413" s="15" t="s">
        <v>231</v>
      </c>
      <c r="C413" s="15" t="s">
        <v>6</v>
      </c>
      <c r="D413" s="15" t="s">
        <v>647</v>
      </c>
    </row>
    <row r="414" spans="1:4" x14ac:dyDescent="0.25">
      <c r="A414" s="15" t="s">
        <v>40</v>
      </c>
      <c r="B414" s="15" t="s">
        <v>231</v>
      </c>
      <c r="C414" s="15" t="s">
        <v>34</v>
      </c>
      <c r="D414" s="15" t="s">
        <v>648</v>
      </c>
    </row>
    <row r="415" spans="1:4" x14ac:dyDescent="0.25">
      <c r="A415" s="15" t="s">
        <v>40</v>
      </c>
      <c r="B415" s="15" t="s">
        <v>231</v>
      </c>
      <c r="C415" s="15" t="s">
        <v>35</v>
      </c>
      <c r="D415" s="15" t="s">
        <v>649</v>
      </c>
    </row>
    <row r="416" spans="1:4" x14ac:dyDescent="0.25">
      <c r="A416" s="16" t="s">
        <v>40</v>
      </c>
      <c r="B416" s="16" t="s">
        <v>241</v>
      </c>
      <c r="C416" s="16" t="s">
        <v>149</v>
      </c>
      <c r="D416" s="16" t="s">
        <v>650</v>
      </c>
    </row>
    <row r="417" spans="1:4" x14ac:dyDescent="0.25">
      <c r="A417" s="16" t="s">
        <v>40</v>
      </c>
      <c r="B417" s="16" t="s">
        <v>241</v>
      </c>
      <c r="C417" s="16" t="s">
        <v>0</v>
      </c>
      <c r="D417" s="16" t="s">
        <v>651</v>
      </c>
    </row>
    <row r="418" spans="1:4" x14ac:dyDescent="0.25">
      <c r="A418" s="16" t="s">
        <v>40</v>
      </c>
      <c r="B418" s="16" t="s">
        <v>241</v>
      </c>
      <c r="C418" s="16" t="s">
        <v>2</v>
      </c>
      <c r="D418" s="16" t="s">
        <v>652</v>
      </c>
    </row>
    <row r="419" spans="1:4" x14ac:dyDescent="0.25">
      <c r="A419" s="16" t="s">
        <v>40</v>
      </c>
      <c r="B419" s="16" t="s">
        <v>241</v>
      </c>
      <c r="C419" s="16" t="s">
        <v>3</v>
      </c>
      <c r="D419" s="16" t="s">
        <v>653</v>
      </c>
    </row>
    <row r="420" spans="1:4" x14ac:dyDescent="0.25">
      <c r="A420" s="16" t="s">
        <v>40</v>
      </c>
      <c r="B420" s="16" t="s">
        <v>241</v>
      </c>
      <c r="C420" s="16" t="s">
        <v>4</v>
      </c>
      <c r="D420" s="16" t="s">
        <v>654</v>
      </c>
    </row>
    <row r="421" spans="1:4" x14ac:dyDescent="0.25">
      <c r="A421" s="16" t="s">
        <v>40</v>
      </c>
      <c r="B421" s="16" t="s">
        <v>241</v>
      </c>
      <c r="C421" s="16" t="s">
        <v>5</v>
      </c>
      <c r="D421" s="16" t="s">
        <v>655</v>
      </c>
    </row>
    <row r="422" spans="1:4" x14ac:dyDescent="0.25">
      <c r="A422" s="16" t="s">
        <v>40</v>
      </c>
      <c r="B422" s="16" t="s">
        <v>241</v>
      </c>
      <c r="C422" s="16" t="s">
        <v>6</v>
      </c>
      <c r="D422" s="16" t="s">
        <v>656</v>
      </c>
    </row>
    <row r="423" spans="1:4" x14ac:dyDescent="0.25">
      <c r="A423" s="16" t="s">
        <v>40</v>
      </c>
      <c r="B423" s="16" t="s">
        <v>241</v>
      </c>
      <c r="C423" s="16" t="s">
        <v>34</v>
      </c>
      <c r="D423" s="16" t="s">
        <v>657</v>
      </c>
    </row>
    <row r="424" spans="1:4" x14ac:dyDescent="0.25">
      <c r="A424" s="16" t="s">
        <v>40</v>
      </c>
      <c r="B424" s="16" t="s">
        <v>241</v>
      </c>
      <c r="C424" s="16" t="s">
        <v>35</v>
      </c>
      <c r="D424" s="16" t="s">
        <v>658</v>
      </c>
    </row>
    <row r="425" spans="1:4" x14ac:dyDescent="0.25">
      <c r="A425" s="17" t="s">
        <v>40</v>
      </c>
      <c r="B425" s="17" t="s">
        <v>251</v>
      </c>
      <c r="C425" s="17" t="s">
        <v>149</v>
      </c>
      <c r="D425" s="17" t="s">
        <v>659</v>
      </c>
    </row>
    <row r="426" spans="1:4" x14ac:dyDescent="0.25">
      <c r="A426" s="17" t="s">
        <v>40</v>
      </c>
      <c r="B426" s="17" t="s">
        <v>251</v>
      </c>
      <c r="C426" s="17" t="s">
        <v>0</v>
      </c>
      <c r="D426" s="17" t="s">
        <v>660</v>
      </c>
    </row>
    <row r="427" spans="1:4" x14ac:dyDescent="0.25">
      <c r="A427" s="17" t="s">
        <v>40</v>
      </c>
      <c r="B427" s="17" t="s">
        <v>251</v>
      </c>
      <c r="C427" s="17" t="s">
        <v>2</v>
      </c>
      <c r="D427" s="17" t="s">
        <v>661</v>
      </c>
    </row>
    <row r="428" spans="1:4" x14ac:dyDescent="0.25">
      <c r="A428" s="17" t="s">
        <v>40</v>
      </c>
      <c r="B428" s="17" t="s">
        <v>251</v>
      </c>
      <c r="C428" s="17" t="s">
        <v>3</v>
      </c>
      <c r="D428" s="17" t="s">
        <v>662</v>
      </c>
    </row>
    <row r="429" spans="1:4" x14ac:dyDescent="0.25">
      <c r="A429" s="17" t="s">
        <v>40</v>
      </c>
      <c r="B429" s="17" t="s">
        <v>251</v>
      </c>
      <c r="C429" s="17" t="s">
        <v>4</v>
      </c>
      <c r="D429" s="17" t="s">
        <v>663</v>
      </c>
    </row>
    <row r="430" spans="1:4" x14ac:dyDescent="0.25">
      <c r="A430" s="17" t="s">
        <v>40</v>
      </c>
      <c r="B430" s="17" t="s">
        <v>251</v>
      </c>
      <c r="C430" s="17" t="s">
        <v>5</v>
      </c>
      <c r="D430" s="17" t="s">
        <v>664</v>
      </c>
    </row>
    <row r="431" spans="1:4" x14ac:dyDescent="0.25">
      <c r="A431" s="17" t="s">
        <v>40</v>
      </c>
      <c r="B431" s="17" t="s">
        <v>251</v>
      </c>
      <c r="C431" s="17" t="s">
        <v>6</v>
      </c>
      <c r="D431" s="17" t="s">
        <v>665</v>
      </c>
    </row>
    <row r="432" spans="1:4" x14ac:dyDescent="0.25">
      <c r="A432" s="17" t="s">
        <v>40</v>
      </c>
      <c r="B432" s="17" t="s">
        <v>251</v>
      </c>
      <c r="C432" s="17" t="s">
        <v>34</v>
      </c>
      <c r="D432" s="17" t="s">
        <v>666</v>
      </c>
    </row>
    <row r="433" spans="1:4" x14ac:dyDescent="0.25">
      <c r="A433" s="17" t="s">
        <v>40</v>
      </c>
      <c r="B433" s="17" t="s">
        <v>251</v>
      </c>
      <c r="C433" s="17" t="s">
        <v>35</v>
      </c>
      <c r="D433" s="17" t="s">
        <v>667</v>
      </c>
    </row>
    <row r="434" spans="1:4" x14ac:dyDescent="0.25">
      <c r="A434" s="18" t="s">
        <v>40</v>
      </c>
      <c r="B434" s="18" t="s">
        <v>261</v>
      </c>
      <c r="C434" s="18" t="s">
        <v>149</v>
      </c>
      <c r="D434" s="18" t="s">
        <v>668</v>
      </c>
    </row>
    <row r="435" spans="1:4" x14ac:dyDescent="0.25">
      <c r="A435" s="18" t="s">
        <v>40</v>
      </c>
      <c r="B435" s="18" t="s">
        <v>261</v>
      </c>
      <c r="C435" s="18" t="s">
        <v>0</v>
      </c>
      <c r="D435" s="18" t="s">
        <v>669</v>
      </c>
    </row>
    <row r="436" spans="1:4" x14ac:dyDescent="0.25">
      <c r="A436" s="18" t="s">
        <v>40</v>
      </c>
      <c r="B436" s="18" t="s">
        <v>261</v>
      </c>
      <c r="C436" s="18" t="s">
        <v>2</v>
      </c>
      <c r="D436" s="18" t="s">
        <v>670</v>
      </c>
    </row>
    <row r="437" spans="1:4" x14ac:dyDescent="0.25">
      <c r="A437" s="18" t="s">
        <v>40</v>
      </c>
      <c r="B437" s="18" t="s">
        <v>261</v>
      </c>
      <c r="C437" s="18" t="s">
        <v>3</v>
      </c>
      <c r="D437" s="18" t="s">
        <v>671</v>
      </c>
    </row>
    <row r="438" spans="1:4" x14ac:dyDescent="0.25">
      <c r="A438" s="18" t="s">
        <v>40</v>
      </c>
      <c r="B438" s="18" t="s">
        <v>261</v>
      </c>
      <c r="C438" s="18" t="s">
        <v>4</v>
      </c>
      <c r="D438" s="18" t="s">
        <v>672</v>
      </c>
    </row>
    <row r="439" spans="1:4" x14ac:dyDescent="0.25">
      <c r="A439" s="18" t="s">
        <v>40</v>
      </c>
      <c r="B439" s="18" t="s">
        <v>261</v>
      </c>
      <c r="C439" s="18" t="s">
        <v>5</v>
      </c>
      <c r="D439" s="18" t="s">
        <v>673</v>
      </c>
    </row>
    <row r="440" spans="1:4" x14ac:dyDescent="0.25">
      <c r="A440" s="18" t="s">
        <v>40</v>
      </c>
      <c r="B440" s="18" t="s">
        <v>261</v>
      </c>
      <c r="C440" s="18" t="s">
        <v>6</v>
      </c>
      <c r="D440" s="18" t="s">
        <v>674</v>
      </c>
    </row>
    <row r="441" spans="1:4" x14ac:dyDescent="0.25">
      <c r="A441" s="18" t="s">
        <v>40</v>
      </c>
      <c r="B441" s="18" t="s">
        <v>261</v>
      </c>
      <c r="C441" s="18" t="s">
        <v>34</v>
      </c>
      <c r="D441" s="18" t="s">
        <v>675</v>
      </c>
    </row>
    <row r="442" spans="1:4" x14ac:dyDescent="0.25">
      <c r="A442" s="18" t="s">
        <v>40</v>
      </c>
      <c r="B442" s="18" t="s">
        <v>261</v>
      </c>
      <c r="C442" s="18" t="s">
        <v>35</v>
      </c>
      <c r="D442" s="18" t="s">
        <v>676</v>
      </c>
    </row>
    <row r="443" spans="1:4" x14ac:dyDescent="0.25">
      <c r="A443" s="19" t="s">
        <v>40</v>
      </c>
      <c r="B443" s="19" t="s">
        <v>271</v>
      </c>
      <c r="C443" s="19" t="s">
        <v>149</v>
      </c>
      <c r="D443" s="19" t="s">
        <v>677</v>
      </c>
    </row>
    <row r="444" spans="1:4" x14ac:dyDescent="0.25">
      <c r="A444" s="19" t="s">
        <v>40</v>
      </c>
      <c r="B444" s="19" t="s">
        <v>271</v>
      </c>
      <c r="C444" s="19" t="s">
        <v>0</v>
      </c>
      <c r="D444" s="19" t="s">
        <v>678</v>
      </c>
    </row>
    <row r="445" spans="1:4" x14ac:dyDescent="0.25">
      <c r="A445" s="19" t="s">
        <v>40</v>
      </c>
      <c r="B445" s="19" t="s">
        <v>271</v>
      </c>
      <c r="C445" s="19" t="s">
        <v>2</v>
      </c>
      <c r="D445" s="19" t="s">
        <v>679</v>
      </c>
    </row>
    <row r="446" spans="1:4" x14ac:dyDescent="0.25">
      <c r="A446" s="19" t="s">
        <v>40</v>
      </c>
      <c r="B446" s="19" t="s">
        <v>271</v>
      </c>
      <c r="C446" s="19" t="s">
        <v>3</v>
      </c>
      <c r="D446" s="19" t="s">
        <v>680</v>
      </c>
    </row>
    <row r="447" spans="1:4" x14ac:dyDescent="0.25">
      <c r="A447" s="19" t="s">
        <v>40</v>
      </c>
      <c r="B447" s="19" t="s">
        <v>271</v>
      </c>
      <c r="C447" s="19" t="s">
        <v>4</v>
      </c>
      <c r="D447" s="19" t="s">
        <v>681</v>
      </c>
    </row>
    <row r="448" spans="1:4" x14ac:dyDescent="0.25">
      <c r="A448" s="19" t="s">
        <v>40</v>
      </c>
      <c r="B448" s="19" t="s">
        <v>271</v>
      </c>
      <c r="C448" s="19" t="s">
        <v>5</v>
      </c>
      <c r="D448" s="19" t="s">
        <v>682</v>
      </c>
    </row>
    <row r="449" spans="1:4" x14ac:dyDescent="0.25">
      <c r="A449" s="19" t="s">
        <v>40</v>
      </c>
      <c r="B449" s="19" t="s">
        <v>271</v>
      </c>
      <c r="C449" s="19" t="s">
        <v>6</v>
      </c>
      <c r="D449" s="19" t="s">
        <v>683</v>
      </c>
    </row>
    <row r="450" spans="1:4" x14ac:dyDescent="0.25">
      <c r="A450" s="19" t="s">
        <v>40</v>
      </c>
      <c r="B450" s="19" t="s">
        <v>271</v>
      </c>
      <c r="C450" s="19" t="s">
        <v>34</v>
      </c>
      <c r="D450" s="19" t="s">
        <v>684</v>
      </c>
    </row>
    <row r="451" spans="1:4" x14ac:dyDescent="0.25">
      <c r="A451" s="19" t="s">
        <v>40</v>
      </c>
      <c r="B451" s="19" t="s">
        <v>271</v>
      </c>
      <c r="C451" s="19" t="s">
        <v>35</v>
      </c>
      <c r="D451" s="19" t="s">
        <v>685</v>
      </c>
    </row>
    <row r="452" spans="1:4" x14ac:dyDescent="0.25">
      <c r="A452" s="15" t="s">
        <v>44</v>
      </c>
      <c r="B452" s="15" t="s">
        <v>231</v>
      </c>
      <c r="C452" s="15" t="s">
        <v>149</v>
      </c>
      <c r="D452" s="15" t="s">
        <v>686</v>
      </c>
    </row>
    <row r="453" spans="1:4" x14ac:dyDescent="0.25">
      <c r="A453" s="15" t="s">
        <v>44</v>
      </c>
      <c r="B453" s="15" t="s">
        <v>231</v>
      </c>
      <c r="C453" s="15" t="s">
        <v>0</v>
      </c>
      <c r="D453" s="15" t="s">
        <v>687</v>
      </c>
    </row>
    <row r="454" spans="1:4" x14ac:dyDescent="0.25">
      <c r="A454" s="15" t="s">
        <v>44</v>
      </c>
      <c r="B454" s="15" t="s">
        <v>231</v>
      </c>
      <c r="C454" s="15" t="s">
        <v>2</v>
      </c>
      <c r="D454" s="15" t="s">
        <v>688</v>
      </c>
    </row>
    <row r="455" spans="1:4" x14ac:dyDescent="0.25">
      <c r="A455" s="15" t="s">
        <v>44</v>
      </c>
      <c r="B455" s="15" t="s">
        <v>231</v>
      </c>
      <c r="C455" s="15" t="s">
        <v>3</v>
      </c>
      <c r="D455" s="15" t="s">
        <v>689</v>
      </c>
    </row>
    <row r="456" spans="1:4" x14ac:dyDescent="0.25">
      <c r="A456" s="15" t="s">
        <v>44</v>
      </c>
      <c r="B456" s="15" t="s">
        <v>231</v>
      </c>
      <c r="C456" s="15" t="s">
        <v>4</v>
      </c>
      <c r="D456" s="15" t="s">
        <v>690</v>
      </c>
    </row>
    <row r="457" spans="1:4" x14ac:dyDescent="0.25">
      <c r="A457" s="15" t="s">
        <v>44</v>
      </c>
      <c r="B457" s="15" t="s">
        <v>231</v>
      </c>
      <c r="C457" s="15" t="s">
        <v>5</v>
      </c>
      <c r="D457" s="15" t="s">
        <v>691</v>
      </c>
    </row>
    <row r="458" spans="1:4" x14ac:dyDescent="0.25">
      <c r="A458" s="15" t="s">
        <v>44</v>
      </c>
      <c r="B458" s="15" t="s">
        <v>231</v>
      </c>
      <c r="C458" s="15" t="s">
        <v>6</v>
      </c>
      <c r="D458" s="15" t="s">
        <v>692</v>
      </c>
    </row>
    <row r="459" spans="1:4" x14ac:dyDescent="0.25">
      <c r="A459" s="15" t="s">
        <v>44</v>
      </c>
      <c r="B459" s="15" t="s">
        <v>231</v>
      </c>
      <c r="C459" s="15" t="s">
        <v>34</v>
      </c>
      <c r="D459" s="15" t="s">
        <v>693</v>
      </c>
    </row>
    <row r="460" spans="1:4" x14ac:dyDescent="0.25">
      <c r="A460" s="15" t="s">
        <v>44</v>
      </c>
      <c r="B460" s="15" t="s">
        <v>231</v>
      </c>
      <c r="C460" s="15" t="s">
        <v>35</v>
      </c>
      <c r="D460" s="15" t="s">
        <v>694</v>
      </c>
    </row>
    <row r="461" spans="1:4" x14ac:dyDescent="0.25">
      <c r="A461" s="16" t="s">
        <v>44</v>
      </c>
      <c r="B461" s="16" t="s">
        <v>241</v>
      </c>
      <c r="C461" s="16" t="s">
        <v>149</v>
      </c>
      <c r="D461" s="16" t="s">
        <v>695</v>
      </c>
    </row>
    <row r="462" spans="1:4" x14ac:dyDescent="0.25">
      <c r="A462" s="16" t="s">
        <v>44</v>
      </c>
      <c r="B462" s="16" t="s">
        <v>241</v>
      </c>
      <c r="C462" s="16" t="s">
        <v>0</v>
      </c>
      <c r="D462" s="16" t="s">
        <v>696</v>
      </c>
    </row>
    <row r="463" spans="1:4" x14ac:dyDescent="0.25">
      <c r="A463" s="16" t="s">
        <v>44</v>
      </c>
      <c r="B463" s="16" t="s">
        <v>241</v>
      </c>
      <c r="C463" s="16" t="s">
        <v>2</v>
      </c>
      <c r="D463" s="16" t="s">
        <v>697</v>
      </c>
    </row>
    <row r="464" spans="1:4" x14ac:dyDescent="0.25">
      <c r="A464" s="16" t="s">
        <v>44</v>
      </c>
      <c r="B464" s="16" t="s">
        <v>241</v>
      </c>
      <c r="C464" s="16" t="s">
        <v>3</v>
      </c>
      <c r="D464" s="16" t="s">
        <v>698</v>
      </c>
    </row>
    <row r="465" spans="1:4" x14ac:dyDescent="0.25">
      <c r="A465" s="16" t="s">
        <v>44</v>
      </c>
      <c r="B465" s="16" t="s">
        <v>241</v>
      </c>
      <c r="C465" s="16" t="s">
        <v>4</v>
      </c>
      <c r="D465" s="16" t="s">
        <v>699</v>
      </c>
    </row>
    <row r="466" spans="1:4" x14ac:dyDescent="0.25">
      <c r="A466" s="16" t="s">
        <v>44</v>
      </c>
      <c r="B466" s="16" t="s">
        <v>241</v>
      </c>
      <c r="C466" s="16" t="s">
        <v>5</v>
      </c>
      <c r="D466" s="16" t="s">
        <v>700</v>
      </c>
    </row>
    <row r="467" spans="1:4" x14ac:dyDescent="0.25">
      <c r="A467" s="16" t="s">
        <v>44</v>
      </c>
      <c r="B467" s="16" t="s">
        <v>241</v>
      </c>
      <c r="C467" s="16" t="s">
        <v>6</v>
      </c>
      <c r="D467" s="16" t="s">
        <v>701</v>
      </c>
    </row>
    <row r="468" spans="1:4" x14ac:dyDescent="0.25">
      <c r="A468" s="16" t="s">
        <v>44</v>
      </c>
      <c r="B468" s="16" t="s">
        <v>241</v>
      </c>
      <c r="C468" s="16" t="s">
        <v>34</v>
      </c>
      <c r="D468" s="16" t="s">
        <v>702</v>
      </c>
    </row>
    <row r="469" spans="1:4" x14ac:dyDescent="0.25">
      <c r="A469" s="16" t="s">
        <v>44</v>
      </c>
      <c r="B469" s="16" t="s">
        <v>241</v>
      </c>
      <c r="C469" s="16" t="s">
        <v>35</v>
      </c>
      <c r="D469" s="16" t="s">
        <v>703</v>
      </c>
    </row>
    <row r="470" spans="1:4" x14ac:dyDescent="0.25">
      <c r="A470" s="17" t="s">
        <v>44</v>
      </c>
      <c r="B470" s="17" t="s">
        <v>251</v>
      </c>
      <c r="C470" s="17" t="s">
        <v>149</v>
      </c>
      <c r="D470" s="17" t="s">
        <v>704</v>
      </c>
    </row>
    <row r="471" spans="1:4" x14ac:dyDescent="0.25">
      <c r="A471" s="17" t="s">
        <v>44</v>
      </c>
      <c r="B471" s="17" t="s">
        <v>251</v>
      </c>
      <c r="C471" s="17" t="s">
        <v>0</v>
      </c>
      <c r="D471" s="17" t="s">
        <v>705</v>
      </c>
    </row>
    <row r="472" spans="1:4" x14ac:dyDescent="0.25">
      <c r="A472" s="17" t="s">
        <v>44</v>
      </c>
      <c r="B472" s="17" t="s">
        <v>251</v>
      </c>
      <c r="C472" s="17" t="s">
        <v>2</v>
      </c>
      <c r="D472" s="17" t="s">
        <v>706</v>
      </c>
    </row>
    <row r="473" spans="1:4" x14ac:dyDescent="0.25">
      <c r="A473" s="17" t="s">
        <v>44</v>
      </c>
      <c r="B473" s="17" t="s">
        <v>251</v>
      </c>
      <c r="C473" s="17" t="s">
        <v>3</v>
      </c>
      <c r="D473" s="17" t="s">
        <v>707</v>
      </c>
    </row>
    <row r="474" spans="1:4" x14ac:dyDescent="0.25">
      <c r="A474" s="17" t="s">
        <v>44</v>
      </c>
      <c r="B474" s="17" t="s">
        <v>251</v>
      </c>
      <c r="C474" s="17" t="s">
        <v>4</v>
      </c>
      <c r="D474" s="17" t="s">
        <v>708</v>
      </c>
    </row>
    <row r="475" spans="1:4" x14ac:dyDescent="0.25">
      <c r="A475" s="17" t="s">
        <v>44</v>
      </c>
      <c r="B475" s="17" t="s">
        <v>251</v>
      </c>
      <c r="C475" s="17" t="s">
        <v>5</v>
      </c>
      <c r="D475" s="17" t="s">
        <v>709</v>
      </c>
    </row>
    <row r="476" spans="1:4" x14ac:dyDescent="0.25">
      <c r="A476" s="17" t="s">
        <v>44</v>
      </c>
      <c r="B476" s="17" t="s">
        <v>251</v>
      </c>
      <c r="C476" s="17" t="s">
        <v>6</v>
      </c>
      <c r="D476" s="17" t="s">
        <v>710</v>
      </c>
    </row>
    <row r="477" spans="1:4" x14ac:dyDescent="0.25">
      <c r="A477" s="17" t="s">
        <v>44</v>
      </c>
      <c r="B477" s="17" t="s">
        <v>251</v>
      </c>
      <c r="C477" s="17" t="s">
        <v>34</v>
      </c>
      <c r="D477" s="17" t="s">
        <v>711</v>
      </c>
    </row>
    <row r="478" spans="1:4" x14ac:dyDescent="0.25">
      <c r="A478" s="17" t="s">
        <v>44</v>
      </c>
      <c r="B478" s="17" t="s">
        <v>251</v>
      </c>
      <c r="C478" s="17" t="s">
        <v>35</v>
      </c>
      <c r="D478" s="17" t="s">
        <v>712</v>
      </c>
    </row>
    <row r="479" spans="1:4" x14ac:dyDescent="0.25">
      <c r="A479" s="18" t="s">
        <v>44</v>
      </c>
      <c r="B479" s="18" t="s">
        <v>261</v>
      </c>
      <c r="C479" s="18" t="s">
        <v>149</v>
      </c>
      <c r="D479" s="18" t="s">
        <v>713</v>
      </c>
    </row>
    <row r="480" spans="1:4" x14ac:dyDescent="0.25">
      <c r="A480" s="18" t="s">
        <v>44</v>
      </c>
      <c r="B480" s="18" t="s">
        <v>261</v>
      </c>
      <c r="C480" s="18" t="s">
        <v>0</v>
      </c>
      <c r="D480" s="18" t="s">
        <v>714</v>
      </c>
    </row>
    <row r="481" spans="1:4" x14ac:dyDescent="0.25">
      <c r="A481" s="18" t="s">
        <v>44</v>
      </c>
      <c r="B481" s="18" t="s">
        <v>261</v>
      </c>
      <c r="C481" s="18" t="s">
        <v>2</v>
      </c>
      <c r="D481" s="18" t="s">
        <v>715</v>
      </c>
    </row>
    <row r="482" spans="1:4" x14ac:dyDescent="0.25">
      <c r="A482" s="18" t="s">
        <v>44</v>
      </c>
      <c r="B482" s="18" t="s">
        <v>261</v>
      </c>
      <c r="C482" s="18" t="s">
        <v>3</v>
      </c>
      <c r="D482" s="18" t="s">
        <v>716</v>
      </c>
    </row>
    <row r="483" spans="1:4" x14ac:dyDescent="0.25">
      <c r="A483" s="18" t="s">
        <v>44</v>
      </c>
      <c r="B483" s="18" t="s">
        <v>261</v>
      </c>
      <c r="C483" s="18" t="s">
        <v>4</v>
      </c>
      <c r="D483" s="18" t="s">
        <v>717</v>
      </c>
    </row>
    <row r="484" spans="1:4" x14ac:dyDescent="0.25">
      <c r="A484" s="18" t="s">
        <v>44</v>
      </c>
      <c r="B484" s="18" t="s">
        <v>261</v>
      </c>
      <c r="C484" s="18" t="s">
        <v>5</v>
      </c>
      <c r="D484" s="18" t="s">
        <v>718</v>
      </c>
    </row>
    <row r="485" spans="1:4" x14ac:dyDescent="0.25">
      <c r="A485" s="18" t="s">
        <v>44</v>
      </c>
      <c r="B485" s="18" t="s">
        <v>261</v>
      </c>
      <c r="C485" s="18" t="s">
        <v>6</v>
      </c>
      <c r="D485" s="18" t="s">
        <v>719</v>
      </c>
    </row>
    <row r="486" spans="1:4" x14ac:dyDescent="0.25">
      <c r="A486" s="18" t="s">
        <v>44</v>
      </c>
      <c r="B486" s="18" t="s">
        <v>261</v>
      </c>
      <c r="C486" s="18" t="s">
        <v>34</v>
      </c>
      <c r="D486" s="18" t="s">
        <v>720</v>
      </c>
    </row>
    <row r="487" spans="1:4" x14ac:dyDescent="0.25">
      <c r="A487" s="18" t="s">
        <v>44</v>
      </c>
      <c r="B487" s="18" t="s">
        <v>261</v>
      </c>
      <c r="C487" s="18" t="s">
        <v>35</v>
      </c>
      <c r="D487" s="18" t="s">
        <v>721</v>
      </c>
    </row>
    <row r="488" spans="1:4" x14ac:dyDescent="0.25">
      <c r="A488" s="19" t="s">
        <v>44</v>
      </c>
      <c r="B488" s="19" t="s">
        <v>271</v>
      </c>
      <c r="C488" s="19" t="s">
        <v>149</v>
      </c>
      <c r="D488" s="19" t="s">
        <v>722</v>
      </c>
    </row>
    <row r="489" spans="1:4" x14ac:dyDescent="0.25">
      <c r="A489" s="19" t="s">
        <v>44</v>
      </c>
      <c r="B489" s="19" t="s">
        <v>271</v>
      </c>
      <c r="C489" s="19" t="s">
        <v>0</v>
      </c>
      <c r="D489" s="19" t="s">
        <v>723</v>
      </c>
    </row>
    <row r="490" spans="1:4" x14ac:dyDescent="0.25">
      <c r="A490" s="19" t="s">
        <v>44</v>
      </c>
      <c r="B490" s="19" t="s">
        <v>271</v>
      </c>
      <c r="C490" s="19" t="s">
        <v>2</v>
      </c>
      <c r="D490" s="19" t="s">
        <v>724</v>
      </c>
    </row>
    <row r="491" spans="1:4" x14ac:dyDescent="0.25">
      <c r="A491" s="19" t="s">
        <v>44</v>
      </c>
      <c r="B491" s="19" t="s">
        <v>271</v>
      </c>
      <c r="C491" s="19" t="s">
        <v>3</v>
      </c>
      <c r="D491" s="19" t="s">
        <v>725</v>
      </c>
    </row>
    <row r="492" spans="1:4" x14ac:dyDescent="0.25">
      <c r="A492" s="19" t="s">
        <v>44</v>
      </c>
      <c r="B492" s="19" t="s">
        <v>271</v>
      </c>
      <c r="C492" s="19" t="s">
        <v>4</v>
      </c>
      <c r="D492" s="19" t="s">
        <v>726</v>
      </c>
    </row>
    <row r="493" spans="1:4" x14ac:dyDescent="0.25">
      <c r="A493" s="19" t="s">
        <v>44</v>
      </c>
      <c r="B493" s="19" t="s">
        <v>271</v>
      </c>
      <c r="C493" s="19" t="s">
        <v>5</v>
      </c>
      <c r="D493" s="19" t="s">
        <v>727</v>
      </c>
    </row>
    <row r="494" spans="1:4" x14ac:dyDescent="0.25">
      <c r="A494" s="19" t="s">
        <v>44</v>
      </c>
      <c r="B494" s="19" t="s">
        <v>271</v>
      </c>
      <c r="C494" s="19" t="s">
        <v>6</v>
      </c>
      <c r="D494" s="19" t="s">
        <v>728</v>
      </c>
    </row>
    <row r="495" spans="1:4" x14ac:dyDescent="0.25">
      <c r="A495" s="19" t="s">
        <v>44</v>
      </c>
      <c r="B495" s="19" t="s">
        <v>271</v>
      </c>
      <c r="C495" s="19" t="s">
        <v>34</v>
      </c>
      <c r="D495" s="19" t="s">
        <v>729</v>
      </c>
    </row>
    <row r="496" spans="1:4" x14ac:dyDescent="0.25">
      <c r="A496" s="19" t="s">
        <v>44</v>
      </c>
      <c r="B496" s="19" t="s">
        <v>271</v>
      </c>
      <c r="C496" s="19" t="s">
        <v>35</v>
      </c>
      <c r="D496" s="19" t="s">
        <v>730</v>
      </c>
    </row>
    <row r="497" spans="1:4" x14ac:dyDescent="0.25">
      <c r="A497" s="15" t="s">
        <v>39</v>
      </c>
      <c r="B497" s="15" t="s">
        <v>231</v>
      </c>
      <c r="C497" s="15" t="s">
        <v>149</v>
      </c>
      <c r="D497" s="15" t="s">
        <v>731</v>
      </c>
    </row>
    <row r="498" spans="1:4" x14ac:dyDescent="0.25">
      <c r="A498" s="15" t="s">
        <v>39</v>
      </c>
      <c r="B498" s="15" t="s">
        <v>231</v>
      </c>
      <c r="C498" s="15" t="s">
        <v>0</v>
      </c>
      <c r="D498" s="15" t="s">
        <v>732</v>
      </c>
    </row>
    <row r="499" spans="1:4" x14ac:dyDescent="0.25">
      <c r="A499" s="15" t="s">
        <v>39</v>
      </c>
      <c r="B499" s="15" t="s">
        <v>231</v>
      </c>
      <c r="C499" s="15" t="s">
        <v>2</v>
      </c>
      <c r="D499" s="15" t="s">
        <v>733</v>
      </c>
    </row>
    <row r="500" spans="1:4" x14ac:dyDescent="0.25">
      <c r="A500" s="15" t="s">
        <v>39</v>
      </c>
      <c r="B500" s="15" t="s">
        <v>231</v>
      </c>
      <c r="C500" s="15" t="s">
        <v>3</v>
      </c>
      <c r="D500" s="15" t="s">
        <v>734</v>
      </c>
    </row>
    <row r="501" spans="1:4" x14ac:dyDescent="0.25">
      <c r="A501" s="15" t="s">
        <v>39</v>
      </c>
      <c r="B501" s="15" t="s">
        <v>231</v>
      </c>
      <c r="C501" s="15" t="s">
        <v>4</v>
      </c>
      <c r="D501" s="15" t="s">
        <v>735</v>
      </c>
    </row>
    <row r="502" spans="1:4" x14ac:dyDescent="0.25">
      <c r="A502" s="15" t="s">
        <v>39</v>
      </c>
      <c r="B502" s="15" t="s">
        <v>231</v>
      </c>
      <c r="C502" s="15" t="s">
        <v>5</v>
      </c>
      <c r="D502" s="15" t="s">
        <v>736</v>
      </c>
    </row>
    <row r="503" spans="1:4" x14ac:dyDescent="0.25">
      <c r="A503" s="15" t="s">
        <v>39</v>
      </c>
      <c r="B503" s="15" t="s">
        <v>231</v>
      </c>
      <c r="C503" s="15" t="s">
        <v>6</v>
      </c>
      <c r="D503" s="15" t="s">
        <v>737</v>
      </c>
    </row>
    <row r="504" spans="1:4" x14ac:dyDescent="0.25">
      <c r="A504" s="15" t="s">
        <v>39</v>
      </c>
      <c r="B504" s="15" t="s">
        <v>231</v>
      </c>
      <c r="C504" s="15" t="s">
        <v>34</v>
      </c>
      <c r="D504" s="15" t="s">
        <v>738</v>
      </c>
    </row>
    <row r="505" spans="1:4" x14ac:dyDescent="0.25">
      <c r="A505" s="15" t="s">
        <v>39</v>
      </c>
      <c r="B505" s="15" t="s">
        <v>231</v>
      </c>
      <c r="C505" s="15" t="s">
        <v>35</v>
      </c>
      <c r="D505" s="15" t="s">
        <v>739</v>
      </c>
    </row>
    <row r="506" spans="1:4" x14ac:dyDescent="0.25">
      <c r="A506" s="16" t="s">
        <v>39</v>
      </c>
      <c r="B506" s="16" t="s">
        <v>241</v>
      </c>
      <c r="C506" s="16" t="s">
        <v>149</v>
      </c>
      <c r="D506" s="16" t="s">
        <v>740</v>
      </c>
    </row>
    <row r="507" spans="1:4" x14ac:dyDescent="0.25">
      <c r="A507" s="16" t="s">
        <v>39</v>
      </c>
      <c r="B507" s="16" t="s">
        <v>241</v>
      </c>
      <c r="C507" s="16" t="s">
        <v>0</v>
      </c>
      <c r="D507" s="16" t="s">
        <v>741</v>
      </c>
    </row>
    <row r="508" spans="1:4" x14ac:dyDescent="0.25">
      <c r="A508" s="16" t="s">
        <v>39</v>
      </c>
      <c r="B508" s="16" t="s">
        <v>241</v>
      </c>
      <c r="C508" s="16" t="s">
        <v>2</v>
      </c>
      <c r="D508" s="16" t="s">
        <v>742</v>
      </c>
    </row>
    <row r="509" spans="1:4" x14ac:dyDescent="0.25">
      <c r="A509" s="16" t="s">
        <v>39</v>
      </c>
      <c r="B509" s="16" t="s">
        <v>241</v>
      </c>
      <c r="C509" s="16" t="s">
        <v>3</v>
      </c>
      <c r="D509" s="16" t="s">
        <v>743</v>
      </c>
    </row>
    <row r="510" spans="1:4" x14ac:dyDescent="0.25">
      <c r="A510" s="16" t="s">
        <v>39</v>
      </c>
      <c r="B510" s="16" t="s">
        <v>241</v>
      </c>
      <c r="C510" s="16" t="s">
        <v>4</v>
      </c>
      <c r="D510" s="16" t="s">
        <v>744</v>
      </c>
    </row>
    <row r="511" spans="1:4" x14ac:dyDescent="0.25">
      <c r="A511" s="16" t="s">
        <v>39</v>
      </c>
      <c r="B511" s="16" t="s">
        <v>241</v>
      </c>
      <c r="C511" s="16" t="s">
        <v>5</v>
      </c>
      <c r="D511" s="16" t="s">
        <v>745</v>
      </c>
    </row>
    <row r="512" spans="1:4" x14ac:dyDescent="0.25">
      <c r="A512" s="16" t="s">
        <v>39</v>
      </c>
      <c r="B512" s="16" t="s">
        <v>241</v>
      </c>
      <c r="C512" s="16" t="s">
        <v>6</v>
      </c>
      <c r="D512" s="16" t="s">
        <v>746</v>
      </c>
    </row>
    <row r="513" spans="1:4" x14ac:dyDescent="0.25">
      <c r="A513" s="16" t="s">
        <v>39</v>
      </c>
      <c r="B513" s="16" t="s">
        <v>241</v>
      </c>
      <c r="C513" s="16" t="s">
        <v>34</v>
      </c>
      <c r="D513" s="16" t="s">
        <v>747</v>
      </c>
    </row>
    <row r="514" spans="1:4" x14ac:dyDescent="0.25">
      <c r="A514" s="16" t="s">
        <v>39</v>
      </c>
      <c r="B514" s="16" t="s">
        <v>241</v>
      </c>
      <c r="C514" s="16" t="s">
        <v>35</v>
      </c>
      <c r="D514" s="16" t="s">
        <v>748</v>
      </c>
    </row>
    <row r="515" spans="1:4" x14ac:dyDescent="0.25">
      <c r="A515" s="17" t="s">
        <v>39</v>
      </c>
      <c r="B515" s="17" t="s">
        <v>251</v>
      </c>
      <c r="C515" s="17" t="s">
        <v>149</v>
      </c>
      <c r="D515" s="17" t="s">
        <v>749</v>
      </c>
    </row>
    <row r="516" spans="1:4" x14ac:dyDescent="0.25">
      <c r="A516" s="17" t="s">
        <v>39</v>
      </c>
      <c r="B516" s="17" t="s">
        <v>251</v>
      </c>
      <c r="C516" s="17" t="s">
        <v>0</v>
      </c>
      <c r="D516" s="17" t="s">
        <v>750</v>
      </c>
    </row>
    <row r="517" spans="1:4" x14ac:dyDescent="0.25">
      <c r="A517" s="17" t="s">
        <v>39</v>
      </c>
      <c r="B517" s="17" t="s">
        <v>251</v>
      </c>
      <c r="C517" s="17" t="s">
        <v>2</v>
      </c>
      <c r="D517" s="17" t="s">
        <v>751</v>
      </c>
    </row>
    <row r="518" spans="1:4" x14ac:dyDescent="0.25">
      <c r="A518" s="17" t="s">
        <v>39</v>
      </c>
      <c r="B518" s="17" t="s">
        <v>251</v>
      </c>
      <c r="C518" s="17" t="s">
        <v>3</v>
      </c>
      <c r="D518" s="17" t="s">
        <v>752</v>
      </c>
    </row>
    <row r="519" spans="1:4" x14ac:dyDescent="0.25">
      <c r="A519" s="17" t="s">
        <v>39</v>
      </c>
      <c r="B519" s="17" t="s">
        <v>251</v>
      </c>
      <c r="C519" s="17" t="s">
        <v>4</v>
      </c>
      <c r="D519" s="17" t="s">
        <v>753</v>
      </c>
    </row>
    <row r="520" spans="1:4" x14ac:dyDescent="0.25">
      <c r="A520" s="17" t="s">
        <v>39</v>
      </c>
      <c r="B520" s="17" t="s">
        <v>251</v>
      </c>
      <c r="C520" s="17" t="s">
        <v>5</v>
      </c>
      <c r="D520" s="17" t="s">
        <v>754</v>
      </c>
    </row>
    <row r="521" spans="1:4" x14ac:dyDescent="0.25">
      <c r="A521" s="17" t="s">
        <v>39</v>
      </c>
      <c r="B521" s="17" t="s">
        <v>251</v>
      </c>
      <c r="C521" s="17" t="s">
        <v>6</v>
      </c>
      <c r="D521" s="17" t="s">
        <v>755</v>
      </c>
    </row>
    <row r="522" spans="1:4" x14ac:dyDescent="0.25">
      <c r="A522" s="17" t="s">
        <v>39</v>
      </c>
      <c r="B522" s="17" t="s">
        <v>251</v>
      </c>
      <c r="C522" s="17" t="s">
        <v>34</v>
      </c>
      <c r="D522" s="17" t="s">
        <v>756</v>
      </c>
    </row>
    <row r="523" spans="1:4" x14ac:dyDescent="0.25">
      <c r="A523" s="17" t="s">
        <v>39</v>
      </c>
      <c r="B523" s="17" t="s">
        <v>251</v>
      </c>
      <c r="C523" s="17" t="s">
        <v>35</v>
      </c>
      <c r="D523" s="17" t="s">
        <v>757</v>
      </c>
    </row>
    <row r="524" spans="1:4" x14ac:dyDescent="0.25">
      <c r="A524" s="18" t="s">
        <v>39</v>
      </c>
      <c r="B524" s="18" t="s">
        <v>261</v>
      </c>
      <c r="C524" s="18" t="s">
        <v>149</v>
      </c>
      <c r="D524" s="18" t="s">
        <v>758</v>
      </c>
    </row>
    <row r="525" spans="1:4" x14ac:dyDescent="0.25">
      <c r="A525" s="18" t="s">
        <v>39</v>
      </c>
      <c r="B525" s="18" t="s">
        <v>261</v>
      </c>
      <c r="C525" s="18" t="s">
        <v>0</v>
      </c>
      <c r="D525" s="18" t="s">
        <v>759</v>
      </c>
    </row>
    <row r="526" spans="1:4" x14ac:dyDescent="0.25">
      <c r="A526" s="18" t="s">
        <v>39</v>
      </c>
      <c r="B526" s="18" t="s">
        <v>261</v>
      </c>
      <c r="C526" s="18" t="s">
        <v>2</v>
      </c>
      <c r="D526" s="18" t="s">
        <v>760</v>
      </c>
    </row>
    <row r="527" spans="1:4" x14ac:dyDescent="0.25">
      <c r="A527" s="18" t="s">
        <v>39</v>
      </c>
      <c r="B527" s="18" t="s">
        <v>261</v>
      </c>
      <c r="C527" s="18" t="s">
        <v>3</v>
      </c>
      <c r="D527" s="18" t="s">
        <v>761</v>
      </c>
    </row>
    <row r="528" spans="1:4" x14ac:dyDescent="0.25">
      <c r="A528" s="18" t="s">
        <v>39</v>
      </c>
      <c r="B528" s="18" t="s">
        <v>261</v>
      </c>
      <c r="C528" s="18" t="s">
        <v>4</v>
      </c>
      <c r="D528" s="18" t="s">
        <v>762</v>
      </c>
    </row>
    <row r="529" spans="1:4" x14ac:dyDescent="0.25">
      <c r="A529" s="18" t="s">
        <v>39</v>
      </c>
      <c r="B529" s="18" t="s">
        <v>261</v>
      </c>
      <c r="C529" s="18" t="s">
        <v>5</v>
      </c>
      <c r="D529" s="18" t="s">
        <v>763</v>
      </c>
    </row>
    <row r="530" spans="1:4" x14ac:dyDescent="0.25">
      <c r="A530" s="18" t="s">
        <v>39</v>
      </c>
      <c r="B530" s="18" t="s">
        <v>261</v>
      </c>
      <c r="C530" s="18" t="s">
        <v>6</v>
      </c>
      <c r="D530" s="18" t="s">
        <v>764</v>
      </c>
    </row>
    <row r="531" spans="1:4" x14ac:dyDescent="0.25">
      <c r="A531" s="18" t="s">
        <v>39</v>
      </c>
      <c r="B531" s="18" t="s">
        <v>261</v>
      </c>
      <c r="C531" s="18" t="s">
        <v>34</v>
      </c>
      <c r="D531" s="18" t="s">
        <v>765</v>
      </c>
    </row>
    <row r="532" spans="1:4" x14ac:dyDescent="0.25">
      <c r="A532" s="18" t="s">
        <v>39</v>
      </c>
      <c r="B532" s="18" t="s">
        <v>261</v>
      </c>
      <c r="C532" s="18" t="s">
        <v>35</v>
      </c>
      <c r="D532" s="18" t="s">
        <v>766</v>
      </c>
    </row>
    <row r="533" spans="1:4" x14ac:dyDescent="0.25">
      <c r="A533" s="19" t="s">
        <v>39</v>
      </c>
      <c r="B533" s="19" t="s">
        <v>271</v>
      </c>
      <c r="C533" s="19" t="s">
        <v>149</v>
      </c>
      <c r="D533" s="19" t="s">
        <v>767</v>
      </c>
    </row>
    <row r="534" spans="1:4" x14ac:dyDescent="0.25">
      <c r="A534" s="19" t="s">
        <v>39</v>
      </c>
      <c r="B534" s="19" t="s">
        <v>271</v>
      </c>
      <c r="C534" s="19" t="s">
        <v>0</v>
      </c>
      <c r="D534" s="19" t="s">
        <v>768</v>
      </c>
    </row>
    <row r="535" spans="1:4" x14ac:dyDescent="0.25">
      <c r="A535" s="19" t="s">
        <v>39</v>
      </c>
      <c r="B535" s="19" t="s">
        <v>271</v>
      </c>
      <c r="C535" s="19" t="s">
        <v>2</v>
      </c>
      <c r="D535" s="19" t="s">
        <v>769</v>
      </c>
    </row>
    <row r="536" spans="1:4" x14ac:dyDescent="0.25">
      <c r="A536" s="19" t="s">
        <v>39</v>
      </c>
      <c r="B536" s="19" t="s">
        <v>271</v>
      </c>
      <c r="C536" s="19" t="s">
        <v>3</v>
      </c>
      <c r="D536" s="19" t="s">
        <v>770</v>
      </c>
    </row>
    <row r="537" spans="1:4" x14ac:dyDescent="0.25">
      <c r="A537" s="19" t="s">
        <v>39</v>
      </c>
      <c r="B537" s="19" t="s">
        <v>271</v>
      </c>
      <c r="C537" s="19" t="s">
        <v>4</v>
      </c>
      <c r="D537" s="19" t="s">
        <v>771</v>
      </c>
    </row>
    <row r="538" spans="1:4" x14ac:dyDescent="0.25">
      <c r="A538" s="19" t="s">
        <v>39</v>
      </c>
      <c r="B538" s="19" t="s">
        <v>271</v>
      </c>
      <c r="C538" s="19" t="s">
        <v>5</v>
      </c>
      <c r="D538" s="19" t="s">
        <v>772</v>
      </c>
    </row>
    <row r="539" spans="1:4" x14ac:dyDescent="0.25">
      <c r="A539" s="19" t="s">
        <v>39</v>
      </c>
      <c r="B539" s="19" t="s">
        <v>271</v>
      </c>
      <c r="C539" s="19" t="s">
        <v>6</v>
      </c>
      <c r="D539" s="19" t="s">
        <v>773</v>
      </c>
    </row>
    <row r="540" spans="1:4" x14ac:dyDescent="0.25">
      <c r="A540" s="19" t="s">
        <v>39</v>
      </c>
      <c r="B540" s="19" t="s">
        <v>271</v>
      </c>
      <c r="C540" s="19" t="s">
        <v>34</v>
      </c>
      <c r="D540" s="19" t="s">
        <v>774</v>
      </c>
    </row>
    <row r="541" spans="1:4" x14ac:dyDescent="0.25">
      <c r="A541" s="19" t="s">
        <v>39</v>
      </c>
      <c r="B541" s="19" t="s">
        <v>271</v>
      </c>
      <c r="C541" s="19" t="s">
        <v>35</v>
      </c>
      <c r="D541" s="19" t="s">
        <v>775</v>
      </c>
    </row>
    <row r="542" spans="1:4" x14ac:dyDescent="0.25">
      <c r="A542" s="15" t="s">
        <v>42</v>
      </c>
      <c r="B542" s="15" t="s">
        <v>231</v>
      </c>
      <c r="C542" s="15" t="s">
        <v>149</v>
      </c>
      <c r="D542" s="15" t="s">
        <v>776</v>
      </c>
    </row>
    <row r="543" spans="1:4" x14ac:dyDescent="0.25">
      <c r="A543" s="15" t="s">
        <v>42</v>
      </c>
      <c r="B543" s="15" t="s">
        <v>231</v>
      </c>
      <c r="C543" s="15" t="s">
        <v>0</v>
      </c>
      <c r="D543" s="15" t="s">
        <v>777</v>
      </c>
    </row>
    <row r="544" spans="1:4" x14ac:dyDescent="0.25">
      <c r="A544" s="15" t="s">
        <v>42</v>
      </c>
      <c r="B544" s="15" t="s">
        <v>231</v>
      </c>
      <c r="C544" s="15" t="s">
        <v>2</v>
      </c>
      <c r="D544" s="15" t="s">
        <v>778</v>
      </c>
    </row>
    <row r="545" spans="1:4" x14ac:dyDescent="0.25">
      <c r="A545" s="15" t="s">
        <v>42</v>
      </c>
      <c r="B545" s="15" t="s">
        <v>231</v>
      </c>
      <c r="C545" s="15" t="s">
        <v>3</v>
      </c>
      <c r="D545" s="15" t="s">
        <v>779</v>
      </c>
    </row>
    <row r="546" spans="1:4" x14ac:dyDescent="0.25">
      <c r="A546" s="15" t="s">
        <v>42</v>
      </c>
      <c r="B546" s="15" t="s">
        <v>231</v>
      </c>
      <c r="C546" s="15" t="s">
        <v>4</v>
      </c>
      <c r="D546" s="15" t="s">
        <v>780</v>
      </c>
    </row>
    <row r="547" spans="1:4" x14ac:dyDescent="0.25">
      <c r="A547" s="15" t="s">
        <v>42</v>
      </c>
      <c r="B547" s="15" t="s">
        <v>231</v>
      </c>
      <c r="C547" s="15" t="s">
        <v>5</v>
      </c>
      <c r="D547" s="15" t="s">
        <v>781</v>
      </c>
    </row>
    <row r="548" spans="1:4" x14ac:dyDescent="0.25">
      <c r="A548" s="15" t="s">
        <v>42</v>
      </c>
      <c r="B548" s="15" t="s">
        <v>231</v>
      </c>
      <c r="C548" s="15" t="s">
        <v>6</v>
      </c>
      <c r="D548" s="15" t="s">
        <v>782</v>
      </c>
    </row>
    <row r="549" spans="1:4" x14ac:dyDescent="0.25">
      <c r="A549" s="15" t="s">
        <v>42</v>
      </c>
      <c r="B549" s="15" t="s">
        <v>231</v>
      </c>
      <c r="C549" s="15" t="s">
        <v>34</v>
      </c>
      <c r="D549" s="15" t="s">
        <v>783</v>
      </c>
    </row>
    <row r="550" spans="1:4" x14ac:dyDescent="0.25">
      <c r="A550" s="15" t="s">
        <v>42</v>
      </c>
      <c r="B550" s="15" t="s">
        <v>231</v>
      </c>
      <c r="C550" s="15" t="s">
        <v>35</v>
      </c>
      <c r="D550" s="15" t="s">
        <v>784</v>
      </c>
    </row>
    <row r="551" spans="1:4" x14ac:dyDescent="0.25">
      <c r="A551" s="16" t="s">
        <v>42</v>
      </c>
      <c r="B551" s="16" t="s">
        <v>241</v>
      </c>
      <c r="C551" s="16" t="s">
        <v>149</v>
      </c>
      <c r="D551" s="16" t="s">
        <v>785</v>
      </c>
    </row>
    <row r="552" spans="1:4" x14ac:dyDescent="0.25">
      <c r="A552" s="16" t="s">
        <v>42</v>
      </c>
      <c r="B552" s="16" t="s">
        <v>241</v>
      </c>
      <c r="C552" s="16" t="s">
        <v>0</v>
      </c>
      <c r="D552" s="16" t="s">
        <v>786</v>
      </c>
    </row>
    <row r="553" spans="1:4" x14ac:dyDescent="0.25">
      <c r="A553" s="16" t="s">
        <v>42</v>
      </c>
      <c r="B553" s="16" t="s">
        <v>241</v>
      </c>
      <c r="C553" s="16" t="s">
        <v>2</v>
      </c>
      <c r="D553" s="16" t="s">
        <v>787</v>
      </c>
    </row>
    <row r="554" spans="1:4" x14ac:dyDescent="0.25">
      <c r="A554" s="16" t="s">
        <v>42</v>
      </c>
      <c r="B554" s="16" t="s">
        <v>241</v>
      </c>
      <c r="C554" s="16" t="s">
        <v>3</v>
      </c>
      <c r="D554" s="16" t="s">
        <v>788</v>
      </c>
    </row>
    <row r="555" spans="1:4" x14ac:dyDescent="0.25">
      <c r="A555" s="16" t="s">
        <v>42</v>
      </c>
      <c r="B555" s="16" t="s">
        <v>241</v>
      </c>
      <c r="C555" s="16" t="s">
        <v>4</v>
      </c>
      <c r="D555" s="16" t="s">
        <v>789</v>
      </c>
    </row>
    <row r="556" spans="1:4" x14ac:dyDescent="0.25">
      <c r="A556" s="16" t="s">
        <v>42</v>
      </c>
      <c r="B556" s="16" t="s">
        <v>241</v>
      </c>
      <c r="C556" s="16" t="s">
        <v>5</v>
      </c>
      <c r="D556" s="16" t="s">
        <v>790</v>
      </c>
    </row>
    <row r="557" spans="1:4" x14ac:dyDescent="0.25">
      <c r="A557" s="16" t="s">
        <v>42</v>
      </c>
      <c r="B557" s="16" t="s">
        <v>241</v>
      </c>
      <c r="C557" s="16" t="s">
        <v>6</v>
      </c>
      <c r="D557" s="16" t="s">
        <v>791</v>
      </c>
    </row>
    <row r="558" spans="1:4" x14ac:dyDescent="0.25">
      <c r="A558" s="16" t="s">
        <v>42</v>
      </c>
      <c r="B558" s="16" t="s">
        <v>241</v>
      </c>
      <c r="C558" s="16" t="s">
        <v>34</v>
      </c>
      <c r="D558" s="16" t="s">
        <v>792</v>
      </c>
    </row>
    <row r="559" spans="1:4" x14ac:dyDescent="0.25">
      <c r="A559" s="16" t="s">
        <v>42</v>
      </c>
      <c r="B559" s="16" t="s">
        <v>241</v>
      </c>
      <c r="C559" s="16" t="s">
        <v>35</v>
      </c>
      <c r="D559" s="16" t="s">
        <v>793</v>
      </c>
    </row>
    <row r="560" spans="1:4" x14ac:dyDescent="0.25">
      <c r="A560" s="17" t="s">
        <v>42</v>
      </c>
      <c r="B560" s="17" t="s">
        <v>251</v>
      </c>
      <c r="C560" s="17" t="s">
        <v>149</v>
      </c>
      <c r="D560" s="17" t="s">
        <v>794</v>
      </c>
    </row>
    <row r="561" spans="1:4" x14ac:dyDescent="0.25">
      <c r="A561" s="17" t="s">
        <v>42</v>
      </c>
      <c r="B561" s="17" t="s">
        <v>251</v>
      </c>
      <c r="C561" s="17" t="s">
        <v>0</v>
      </c>
      <c r="D561" s="17" t="s">
        <v>795</v>
      </c>
    </row>
    <row r="562" spans="1:4" x14ac:dyDescent="0.25">
      <c r="A562" s="17" t="s">
        <v>42</v>
      </c>
      <c r="B562" s="17" t="s">
        <v>251</v>
      </c>
      <c r="C562" s="17" t="s">
        <v>2</v>
      </c>
      <c r="D562" s="17" t="s">
        <v>796</v>
      </c>
    </row>
    <row r="563" spans="1:4" x14ac:dyDescent="0.25">
      <c r="A563" s="17" t="s">
        <v>42</v>
      </c>
      <c r="B563" s="17" t="s">
        <v>251</v>
      </c>
      <c r="C563" s="17" t="s">
        <v>3</v>
      </c>
      <c r="D563" s="17" t="s">
        <v>797</v>
      </c>
    </row>
    <row r="564" spans="1:4" x14ac:dyDescent="0.25">
      <c r="A564" s="17" t="s">
        <v>42</v>
      </c>
      <c r="B564" s="17" t="s">
        <v>251</v>
      </c>
      <c r="C564" s="17" t="s">
        <v>4</v>
      </c>
      <c r="D564" s="17" t="s">
        <v>798</v>
      </c>
    </row>
    <row r="565" spans="1:4" x14ac:dyDescent="0.25">
      <c r="A565" s="17" t="s">
        <v>42</v>
      </c>
      <c r="B565" s="17" t="s">
        <v>251</v>
      </c>
      <c r="C565" s="17" t="s">
        <v>5</v>
      </c>
      <c r="D565" s="17" t="s">
        <v>799</v>
      </c>
    </row>
    <row r="566" spans="1:4" x14ac:dyDescent="0.25">
      <c r="A566" s="17" t="s">
        <v>42</v>
      </c>
      <c r="B566" s="17" t="s">
        <v>251</v>
      </c>
      <c r="C566" s="17" t="s">
        <v>6</v>
      </c>
      <c r="D566" s="17" t="s">
        <v>800</v>
      </c>
    </row>
    <row r="567" spans="1:4" x14ac:dyDescent="0.25">
      <c r="A567" s="17" t="s">
        <v>42</v>
      </c>
      <c r="B567" s="17" t="s">
        <v>251</v>
      </c>
      <c r="C567" s="17" t="s">
        <v>34</v>
      </c>
      <c r="D567" s="17" t="s">
        <v>801</v>
      </c>
    </row>
    <row r="568" spans="1:4" x14ac:dyDescent="0.25">
      <c r="A568" s="17" t="s">
        <v>42</v>
      </c>
      <c r="B568" s="17" t="s">
        <v>251</v>
      </c>
      <c r="C568" s="17" t="s">
        <v>35</v>
      </c>
      <c r="D568" s="17" t="s">
        <v>802</v>
      </c>
    </row>
    <row r="569" spans="1:4" x14ac:dyDescent="0.25">
      <c r="A569" s="18" t="s">
        <v>42</v>
      </c>
      <c r="B569" s="18" t="s">
        <v>261</v>
      </c>
      <c r="C569" s="18" t="s">
        <v>149</v>
      </c>
      <c r="D569" s="18" t="s">
        <v>803</v>
      </c>
    </row>
    <row r="570" spans="1:4" x14ac:dyDescent="0.25">
      <c r="A570" s="18" t="s">
        <v>42</v>
      </c>
      <c r="B570" s="18" t="s">
        <v>261</v>
      </c>
      <c r="C570" s="18" t="s">
        <v>0</v>
      </c>
      <c r="D570" s="18" t="s">
        <v>804</v>
      </c>
    </row>
    <row r="571" spans="1:4" x14ac:dyDescent="0.25">
      <c r="A571" s="18" t="s">
        <v>42</v>
      </c>
      <c r="B571" s="18" t="s">
        <v>261</v>
      </c>
      <c r="C571" s="18" t="s">
        <v>2</v>
      </c>
      <c r="D571" s="18" t="s">
        <v>805</v>
      </c>
    </row>
    <row r="572" spans="1:4" x14ac:dyDescent="0.25">
      <c r="A572" s="18" t="s">
        <v>42</v>
      </c>
      <c r="B572" s="18" t="s">
        <v>261</v>
      </c>
      <c r="C572" s="18" t="s">
        <v>3</v>
      </c>
      <c r="D572" s="18" t="s">
        <v>806</v>
      </c>
    </row>
    <row r="573" spans="1:4" x14ac:dyDescent="0.25">
      <c r="A573" s="18" t="s">
        <v>42</v>
      </c>
      <c r="B573" s="18" t="s">
        <v>261</v>
      </c>
      <c r="C573" s="18" t="s">
        <v>4</v>
      </c>
      <c r="D573" s="18" t="s">
        <v>807</v>
      </c>
    </row>
    <row r="574" spans="1:4" x14ac:dyDescent="0.25">
      <c r="A574" s="18" t="s">
        <v>42</v>
      </c>
      <c r="B574" s="18" t="s">
        <v>261</v>
      </c>
      <c r="C574" s="18" t="s">
        <v>5</v>
      </c>
      <c r="D574" s="18" t="s">
        <v>808</v>
      </c>
    </row>
    <row r="575" spans="1:4" x14ac:dyDescent="0.25">
      <c r="A575" s="18" t="s">
        <v>42</v>
      </c>
      <c r="B575" s="18" t="s">
        <v>261</v>
      </c>
      <c r="C575" s="18" t="s">
        <v>6</v>
      </c>
      <c r="D575" s="18" t="s">
        <v>809</v>
      </c>
    </row>
    <row r="576" spans="1:4" x14ac:dyDescent="0.25">
      <c r="A576" s="18" t="s">
        <v>42</v>
      </c>
      <c r="B576" s="18" t="s">
        <v>261</v>
      </c>
      <c r="C576" s="18" t="s">
        <v>34</v>
      </c>
      <c r="D576" s="18" t="s">
        <v>810</v>
      </c>
    </row>
    <row r="577" spans="1:4" x14ac:dyDescent="0.25">
      <c r="A577" s="18" t="s">
        <v>42</v>
      </c>
      <c r="B577" s="18" t="s">
        <v>261</v>
      </c>
      <c r="C577" s="18" t="s">
        <v>35</v>
      </c>
      <c r="D577" s="18" t="s">
        <v>811</v>
      </c>
    </row>
    <row r="578" spans="1:4" x14ac:dyDescent="0.25">
      <c r="A578" s="19" t="s">
        <v>42</v>
      </c>
      <c r="B578" s="19" t="s">
        <v>271</v>
      </c>
      <c r="C578" s="19" t="s">
        <v>149</v>
      </c>
      <c r="D578" s="19" t="s">
        <v>812</v>
      </c>
    </row>
    <row r="579" spans="1:4" x14ac:dyDescent="0.25">
      <c r="A579" s="19" t="s">
        <v>42</v>
      </c>
      <c r="B579" s="19" t="s">
        <v>271</v>
      </c>
      <c r="C579" s="19" t="s">
        <v>0</v>
      </c>
      <c r="D579" s="19" t="s">
        <v>813</v>
      </c>
    </row>
    <row r="580" spans="1:4" x14ac:dyDescent="0.25">
      <c r="A580" s="19" t="s">
        <v>42</v>
      </c>
      <c r="B580" s="19" t="s">
        <v>271</v>
      </c>
      <c r="C580" s="19" t="s">
        <v>2</v>
      </c>
      <c r="D580" s="19" t="s">
        <v>814</v>
      </c>
    </row>
    <row r="581" spans="1:4" x14ac:dyDescent="0.25">
      <c r="A581" s="19" t="s">
        <v>42</v>
      </c>
      <c r="B581" s="19" t="s">
        <v>271</v>
      </c>
      <c r="C581" s="19" t="s">
        <v>3</v>
      </c>
      <c r="D581" s="19" t="s">
        <v>815</v>
      </c>
    </row>
    <row r="582" spans="1:4" x14ac:dyDescent="0.25">
      <c r="A582" s="19" t="s">
        <v>42</v>
      </c>
      <c r="B582" s="19" t="s">
        <v>271</v>
      </c>
      <c r="C582" s="19" t="s">
        <v>4</v>
      </c>
      <c r="D582" s="19" t="s">
        <v>816</v>
      </c>
    </row>
    <row r="583" spans="1:4" x14ac:dyDescent="0.25">
      <c r="A583" s="19" t="s">
        <v>42</v>
      </c>
      <c r="B583" s="19" t="s">
        <v>271</v>
      </c>
      <c r="C583" s="19" t="s">
        <v>5</v>
      </c>
      <c r="D583" s="19" t="s">
        <v>817</v>
      </c>
    </row>
    <row r="584" spans="1:4" x14ac:dyDescent="0.25">
      <c r="A584" s="19" t="s">
        <v>42</v>
      </c>
      <c r="B584" s="19" t="s">
        <v>271</v>
      </c>
      <c r="C584" s="19" t="s">
        <v>6</v>
      </c>
      <c r="D584" s="19" t="s">
        <v>818</v>
      </c>
    </row>
    <row r="585" spans="1:4" x14ac:dyDescent="0.25">
      <c r="A585" s="19" t="s">
        <v>42</v>
      </c>
      <c r="B585" s="19" t="s">
        <v>271</v>
      </c>
      <c r="C585" s="19" t="s">
        <v>34</v>
      </c>
      <c r="D585" s="19" t="s">
        <v>819</v>
      </c>
    </row>
    <row r="586" spans="1:4" x14ac:dyDescent="0.25">
      <c r="A586" s="19" t="s">
        <v>42</v>
      </c>
      <c r="B586" s="19" t="s">
        <v>271</v>
      </c>
      <c r="C586" s="19" t="s">
        <v>35</v>
      </c>
      <c r="D586" s="19" t="s">
        <v>820</v>
      </c>
    </row>
    <row r="587" spans="1:4" x14ac:dyDescent="0.25">
      <c r="A587" s="15" t="s">
        <v>41</v>
      </c>
      <c r="B587" s="15" t="s">
        <v>231</v>
      </c>
      <c r="C587" s="15" t="s">
        <v>149</v>
      </c>
      <c r="D587" s="15" t="s">
        <v>821</v>
      </c>
    </row>
    <row r="588" spans="1:4" x14ac:dyDescent="0.25">
      <c r="A588" s="15" t="s">
        <v>41</v>
      </c>
      <c r="B588" s="15" t="s">
        <v>231</v>
      </c>
      <c r="C588" s="15" t="s">
        <v>0</v>
      </c>
      <c r="D588" s="15" t="s">
        <v>822</v>
      </c>
    </row>
    <row r="589" spans="1:4" x14ac:dyDescent="0.25">
      <c r="A589" s="15" t="s">
        <v>41</v>
      </c>
      <c r="B589" s="15" t="s">
        <v>231</v>
      </c>
      <c r="C589" s="15" t="s">
        <v>2</v>
      </c>
      <c r="D589" s="15" t="s">
        <v>823</v>
      </c>
    </row>
    <row r="590" spans="1:4" x14ac:dyDescent="0.25">
      <c r="A590" s="15" t="s">
        <v>41</v>
      </c>
      <c r="B590" s="15" t="s">
        <v>231</v>
      </c>
      <c r="C590" s="15" t="s">
        <v>3</v>
      </c>
      <c r="D590" s="15" t="s">
        <v>824</v>
      </c>
    </row>
    <row r="591" spans="1:4" x14ac:dyDescent="0.25">
      <c r="A591" s="15" t="s">
        <v>41</v>
      </c>
      <c r="B591" s="15" t="s">
        <v>231</v>
      </c>
      <c r="C591" s="15" t="s">
        <v>4</v>
      </c>
      <c r="D591" s="15" t="s">
        <v>825</v>
      </c>
    </row>
    <row r="592" spans="1:4" x14ac:dyDescent="0.25">
      <c r="A592" s="15" t="s">
        <v>41</v>
      </c>
      <c r="B592" s="15" t="s">
        <v>231</v>
      </c>
      <c r="C592" s="15" t="s">
        <v>5</v>
      </c>
      <c r="D592" s="15" t="s">
        <v>826</v>
      </c>
    </row>
    <row r="593" spans="1:4" x14ac:dyDescent="0.25">
      <c r="A593" s="15" t="s">
        <v>41</v>
      </c>
      <c r="B593" s="15" t="s">
        <v>231</v>
      </c>
      <c r="C593" s="15" t="s">
        <v>6</v>
      </c>
      <c r="D593" s="15" t="s">
        <v>827</v>
      </c>
    </row>
    <row r="594" spans="1:4" x14ac:dyDescent="0.25">
      <c r="A594" s="15" t="s">
        <v>41</v>
      </c>
      <c r="B594" s="15" t="s">
        <v>231</v>
      </c>
      <c r="C594" s="15" t="s">
        <v>34</v>
      </c>
      <c r="D594" s="15" t="s">
        <v>828</v>
      </c>
    </row>
    <row r="595" spans="1:4" x14ac:dyDescent="0.25">
      <c r="A595" s="15" t="s">
        <v>41</v>
      </c>
      <c r="B595" s="15" t="s">
        <v>231</v>
      </c>
      <c r="C595" s="15" t="s">
        <v>35</v>
      </c>
      <c r="D595" s="15" t="s">
        <v>829</v>
      </c>
    </row>
    <row r="596" spans="1:4" x14ac:dyDescent="0.25">
      <c r="A596" s="16" t="s">
        <v>41</v>
      </c>
      <c r="B596" s="16" t="s">
        <v>241</v>
      </c>
      <c r="C596" s="16" t="s">
        <v>149</v>
      </c>
      <c r="D596" s="16" t="s">
        <v>830</v>
      </c>
    </row>
    <row r="597" spans="1:4" x14ac:dyDescent="0.25">
      <c r="A597" s="16" t="s">
        <v>41</v>
      </c>
      <c r="B597" s="16" t="s">
        <v>241</v>
      </c>
      <c r="C597" s="16" t="s">
        <v>0</v>
      </c>
      <c r="D597" s="16" t="s">
        <v>831</v>
      </c>
    </row>
    <row r="598" spans="1:4" x14ac:dyDescent="0.25">
      <c r="A598" s="16" t="s">
        <v>41</v>
      </c>
      <c r="B598" s="16" t="s">
        <v>241</v>
      </c>
      <c r="C598" s="16" t="s">
        <v>2</v>
      </c>
      <c r="D598" s="16" t="s">
        <v>832</v>
      </c>
    </row>
    <row r="599" spans="1:4" x14ac:dyDescent="0.25">
      <c r="A599" s="16" t="s">
        <v>41</v>
      </c>
      <c r="B599" s="16" t="s">
        <v>241</v>
      </c>
      <c r="C599" s="16" t="s">
        <v>3</v>
      </c>
      <c r="D599" s="16" t="s">
        <v>833</v>
      </c>
    </row>
    <row r="600" spans="1:4" x14ac:dyDescent="0.25">
      <c r="A600" s="16" t="s">
        <v>41</v>
      </c>
      <c r="B600" s="16" t="s">
        <v>241</v>
      </c>
      <c r="C600" s="16" t="s">
        <v>4</v>
      </c>
      <c r="D600" s="16" t="s">
        <v>834</v>
      </c>
    </row>
    <row r="601" spans="1:4" x14ac:dyDescent="0.25">
      <c r="A601" s="16" t="s">
        <v>41</v>
      </c>
      <c r="B601" s="16" t="s">
        <v>241</v>
      </c>
      <c r="C601" s="16" t="s">
        <v>5</v>
      </c>
      <c r="D601" s="16" t="s">
        <v>835</v>
      </c>
    </row>
    <row r="602" spans="1:4" x14ac:dyDescent="0.25">
      <c r="A602" s="16" t="s">
        <v>41</v>
      </c>
      <c r="B602" s="16" t="s">
        <v>241</v>
      </c>
      <c r="C602" s="16" t="s">
        <v>6</v>
      </c>
      <c r="D602" s="16" t="s">
        <v>836</v>
      </c>
    </row>
    <row r="603" spans="1:4" x14ac:dyDescent="0.25">
      <c r="A603" s="16" t="s">
        <v>41</v>
      </c>
      <c r="B603" s="16" t="s">
        <v>241</v>
      </c>
      <c r="C603" s="16" t="s">
        <v>34</v>
      </c>
      <c r="D603" s="16" t="s">
        <v>837</v>
      </c>
    </row>
    <row r="604" spans="1:4" x14ac:dyDescent="0.25">
      <c r="A604" s="16" t="s">
        <v>41</v>
      </c>
      <c r="B604" s="16" t="s">
        <v>241</v>
      </c>
      <c r="C604" s="16" t="s">
        <v>35</v>
      </c>
      <c r="D604" s="16" t="s">
        <v>838</v>
      </c>
    </row>
    <row r="605" spans="1:4" x14ac:dyDescent="0.25">
      <c r="A605" s="17" t="s">
        <v>41</v>
      </c>
      <c r="B605" s="17" t="s">
        <v>251</v>
      </c>
      <c r="C605" s="17" t="s">
        <v>149</v>
      </c>
      <c r="D605" s="17" t="s">
        <v>839</v>
      </c>
    </row>
    <row r="606" spans="1:4" x14ac:dyDescent="0.25">
      <c r="A606" s="17" t="s">
        <v>41</v>
      </c>
      <c r="B606" s="17" t="s">
        <v>251</v>
      </c>
      <c r="C606" s="17" t="s">
        <v>0</v>
      </c>
      <c r="D606" s="17" t="s">
        <v>840</v>
      </c>
    </row>
    <row r="607" spans="1:4" x14ac:dyDescent="0.25">
      <c r="A607" s="17" t="s">
        <v>41</v>
      </c>
      <c r="B607" s="17" t="s">
        <v>251</v>
      </c>
      <c r="C607" s="17" t="s">
        <v>2</v>
      </c>
      <c r="D607" s="17" t="s">
        <v>841</v>
      </c>
    </row>
    <row r="608" spans="1:4" x14ac:dyDescent="0.25">
      <c r="A608" s="17" t="s">
        <v>41</v>
      </c>
      <c r="B608" s="17" t="s">
        <v>251</v>
      </c>
      <c r="C608" s="17" t="s">
        <v>3</v>
      </c>
      <c r="D608" s="17" t="s">
        <v>842</v>
      </c>
    </row>
    <row r="609" spans="1:4" x14ac:dyDescent="0.25">
      <c r="A609" s="17" t="s">
        <v>41</v>
      </c>
      <c r="B609" s="17" t="s">
        <v>251</v>
      </c>
      <c r="C609" s="17" t="s">
        <v>4</v>
      </c>
      <c r="D609" s="17" t="s">
        <v>843</v>
      </c>
    </row>
    <row r="610" spans="1:4" x14ac:dyDescent="0.25">
      <c r="A610" s="17" t="s">
        <v>41</v>
      </c>
      <c r="B610" s="17" t="s">
        <v>251</v>
      </c>
      <c r="C610" s="17" t="s">
        <v>5</v>
      </c>
      <c r="D610" s="17" t="s">
        <v>844</v>
      </c>
    </row>
    <row r="611" spans="1:4" x14ac:dyDescent="0.25">
      <c r="A611" s="17" t="s">
        <v>41</v>
      </c>
      <c r="B611" s="17" t="s">
        <v>251</v>
      </c>
      <c r="C611" s="17" t="s">
        <v>6</v>
      </c>
      <c r="D611" s="17" t="s">
        <v>845</v>
      </c>
    </row>
    <row r="612" spans="1:4" x14ac:dyDescent="0.25">
      <c r="A612" s="17" t="s">
        <v>41</v>
      </c>
      <c r="B612" s="17" t="s">
        <v>251</v>
      </c>
      <c r="C612" s="17" t="s">
        <v>34</v>
      </c>
      <c r="D612" s="17" t="s">
        <v>846</v>
      </c>
    </row>
    <row r="613" spans="1:4" x14ac:dyDescent="0.25">
      <c r="A613" s="17" t="s">
        <v>41</v>
      </c>
      <c r="B613" s="17" t="s">
        <v>251</v>
      </c>
      <c r="C613" s="17" t="s">
        <v>35</v>
      </c>
      <c r="D613" s="17" t="s">
        <v>847</v>
      </c>
    </row>
    <row r="614" spans="1:4" x14ac:dyDescent="0.25">
      <c r="A614" s="18" t="s">
        <v>41</v>
      </c>
      <c r="B614" s="18" t="s">
        <v>261</v>
      </c>
      <c r="C614" s="18" t="s">
        <v>149</v>
      </c>
      <c r="D614" s="18" t="s">
        <v>848</v>
      </c>
    </row>
    <row r="615" spans="1:4" x14ac:dyDescent="0.25">
      <c r="A615" s="18" t="s">
        <v>41</v>
      </c>
      <c r="B615" s="18" t="s">
        <v>261</v>
      </c>
      <c r="C615" s="18" t="s">
        <v>0</v>
      </c>
      <c r="D615" s="18" t="s">
        <v>849</v>
      </c>
    </row>
    <row r="616" spans="1:4" x14ac:dyDescent="0.25">
      <c r="A616" s="18" t="s">
        <v>41</v>
      </c>
      <c r="B616" s="18" t="s">
        <v>261</v>
      </c>
      <c r="C616" s="18" t="s">
        <v>2</v>
      </c>
      <c r="D616" s="18" t="s">
        <v>850</v>
      </c>
    </row>
    <row r="617" spans="1:4" x14ac:dyDescent="0.25">
      <c r="A617" s="18" t="s">
        <v>41</v>
      </c>
      <c r="B617" s="18" t="s">
        <v>261</v>
      </c>
      <c r="C617" s="18" t="s">
        <v>3</v>
      </c>
      <c r="D617" s="18" t="s">
        <v>851</v>
      </c>
    </row>
    <row r="618" spans="1:4" x14ac:dyDescent="0.25">
      <c r="A618" s="18" t="s">
        <v>41</v>
      </c>
      <c r="B618" s="18" t="s">
        <v>261</v>
      </c>
      <c r="C618" s="18" t="s">
        <v>4</v>
      </c>
      <c r="D618" s="18" t="s">
        <v>852</v>
      </c>
    </row>
    <row r="619" spans="1:4" x14ac:dyDescent="0.25">
      <c r="A619" s="18" t="s">
        <v>41</v>
      </c>
      <c r="B619" s="18" t="s">
        <v>261</v>
      </c>
      <c r="C619" s="18" t="s">
        <v>5</v>
      </c>
      <c r="D619" s="18" t="s">
        <v>853</v>
      </c>
    </row>
    <row r="620" spans="1:4" x14ac:dyDescent="0.25">
      <c r="A620" s="18" t="s">
        <v>41</v>
      </c>
      <c r="B620" s="18" t="s">
        <v>261</v>
      </c>
      <c r="C620" s="18" t="s">
        <v>6</v>
      </c>
      <c r="D620" s="18" t="s">
        <v>854</v>
      </c>
    </row>
    <row r="621" spans="1:4" x14ac:dyDescent="0.25">
      <c r="A621" s="18" t="s">
        <v>41</v>
      </c>
      <c r="B621" s="18" t="s">
        <v>261</v>
      </c>
      <c r="C621" s="18" t="s">
        <v>34</v>
      </c>
      <c r="D621" s="18" t="s">
        <v>855</v>
      </c>
    </row>
    <row r="622" spans="1:4" x14ac:dyDescent="0.25">
      <c r="A622" s="18" t="s">
        <v>41</v>
      </c>
      <c r="B622" s="18" t="s">
        <v>261</v>
      </c>
      <c r="C622" s="18" t="s">
        <v>35</v>
      </c>
      <c r="D622" s="18" t="s">
        <v>856</v>
      </c>
    </row>
    <row r="623" spans="1:4" x14ac:dyDescent="0.25">
      <c r="A623" s="19" t="s">
        <v>41</v>
      </c>
      <c r="B623" s="19" t="s">
        <v>271</v>
      </c>
      <c r="C623" s="19" t="s">
        <v>149</v>
      </c>
      <c r="D623" s="19" t="s">
        <v>857</v>
      </c>
    </row>
    <row r="624" spans="1:4" x14ac:dyDescent="0.25">
      <c r="A624" s="19" t="s">
        <v>41</v>
      </c>
      <c r="B624" s="19" t="s">
        <v>271</v>
      </c>
      <c r="C624" s="19" t="s">
        <v>0</v>
      </c>
      <c r="D624" s="19" t="s">
        <v>858</v>
      </c>
    </row>
    <row r="625" spans="1:4" x14ac:dyDescent="0.25">
      <c r="A625" s="19" t="s">
        <v>41</v>
      </c>
      <c r="B625" s="19" t="s">
        <v>271</v>
      </c>
      <c r="C625" s="19" t="s">
        <v>2</v>
      </c>
      <c r="D625" s="19" t="s">
        <v>859</v>
      </c>
    </row>
    <row r="626" spans="1:4" x14ac:dyDescent="0.25">
      <c r="A626" s="19" t="s">
        <v>41</v>
      </c>
      <c r="B626" s="19" t="s">
        <v>271</v>
      </c>
      <c r="C626" s="19" t="s">
        <v>3</v>
      </c>
      <c r="D626" s="19" t="s">
        <v>860</v>
      </c>
    </row>
    <row r="627" spans="1:4" x14ac:dyDescent="0.25">
      <c r="A627" s="19" t="s">
        <v>41</v>
      </c>
      <c r="B627" s="19" t="s">
        <v>271</v>
      </c>
      <c r="C627" s="19" t="s">
        <v>4</v>
      </c>
      <c r="D627" s="19" t="s">
        <v>861</v>
      </c>
    </row>
    <row r="628" spans="1:4" x14ac:dyDescent="0.25">
      <c r="A628" s="19" t="s">
        <v>41</v>
      </c>
      <c r="B628" s="19" t="s">
        <v>271</v>
      </c>
      <c r="C628" s="19" t="s">
        <v>5</v>
      </c>
      <c r="D628" s="19" t="s">
        <v>862</v>
      </c>
    </row>
    <row r="629" spans="1:4" x14ac:dyDescent="0.25">
      <c r="A629" s="19" t="s">
        <v>41</v>
      </c>
      <c r="B629" s="19" t="s">
        <v>271</v>
      </c>
      <c r="C629" s="19" t="s">
        <v>6</v>
      </c>
      <c r="D629" s="19" t="s">
        <v>863</v>
      </c>
    </row>
    <row r="630" spans="1:4" x14ac:dyDescent="0.25">
      <c r="A630" s="19" t="s">
        <v>41</v>
      </c>
      <c r="B630" s="19" t="s">
        <v>271</v>
      </c>
      <c r="C630" s="19" t="s">
        <v>34</v>
      </c>
      <c r="D630" s="19" t="s">
        <v>864</v>
      </c>
    </row>
    <row r="631" spans="1:4" x14ac:dyDescent="0.25">
      <c r="A631" s="19" t="s">
        <v>41</v>
      </c>
      <c r="B631" s="19" t="s">
        <v>271</v>
      </c>
      <c r="C631" s="19" t="s">
        <v>35</v>
      </c>
      <c r="D631" s="19" t="s">
        <v>865</v>
      </c>
    </row>
    <row r="632" spans="1:4" x14ac:dyDescent="0.25">
      <c r="A632" s="15" t="s">
        <v>43</v>
      </c>
      <c r="B632" s="15" t="s">
        <v>231</v>
      </c>
      <c r="C632" s="15" t="s">
        <v>149</v>
      </c>
      <c r="D632" s="15" t="s">
        <v>866</v>
      </c>
    </row>
    <row r="633" spans="1:4" x14ac:dyDescent="0.25">
      <c r="A633" s="15" t="s">
        <v>43</v>
      </c>
      <c r="B633" s="15" t="s">
        <v>231</v>
      </c>
      <c r="C633" s="15" t="s">
        <v>0</v>
      </c>
      <c r="D633" s="15" t="s">
        <v>867</v>
      </c>
    </row>
    <row r="634" spans="1:4" x14ac:dyDescent="0.25">
      <c r="A634" s="15" t="s">
        <v>43</v>
      </c>
      <c r="B634" s="15" t="s">
        <v>231</v>
      </c>
      <c r="C634" s="15" t="s">
        <v>2</v>
      </c>
      <c r="D634" s="15" t="s">
        <v>868</v>
      </c>
    </row>
    <row r="635" spans="1:4" x14ac:dyDescent="0.25">
      <c r="A635" s="15" t="s">
        <v>43</v>
      </c>
      <c r="B635" s="15" t="s">
        <v>231</v>
      </c>
      <c r="C635" s="15" t="s">
        <v>3</v>
      </c>
      <c r="D635" s="15" t="s">
        <v>869</v>
      </c>
    </row>
    <row r="636" spans="1:4" x14ac:dyDescent="0.25">
      <c r="A636" s="15" t="s">
        <v>43</v>
      </c>
      <c r="B636" s="15" t="s">
        <v>231</v>
      </c>
      <c r="C636" s="15" t="s">
        <v>4</v>
      </c>
      <c r="D636" s="15" t="s">
        <v>870</v>
      </c>
    </row>
    <row r="637" spans="1:4" x14ac:dyDescent="0.25">
      <c r="A637" s="15" t="s">
        <v>43</v>
      </c>
      <c r="B637" s="15" t="s">
        <v>231</v>
      </c>
      <c r="C637" s="15" t="s">
        <v>5</v>
      </c>
      <c r="D637" s="15" t="s">
        <v>871</v>
      </c>
    </row>
    <row r="638" spans="1:4" x14ac:dyDescent="0.25">
      <c r="A638" s="15" t="s">
        <v>43</v>
      </c>
      <c r="B638" s="15" t="s">
        <v>231</v>
      </c>
      <c r="C638" s="15" t="s">
        <v>6</v>
      </c>
      <c r="D638" s="15" t="s">
        <v>872</v>
      </c>
    </row>
    <row r="639" spans="1:4" x14ac:dyDescent="0.25">
      <c r="A639" s="15" t="s">
        <v>43</v>
      </c>
      <c r="B639" s="15" t="s">
        <v>231</v>
      </c>
      <c r="C639" s="15" t="s">
        <v>34</v>
      </c>
      <c r="D639" s="15" t="s">
        <v>873</v>
      </c>
    </row>
    <row r="640" spans="1:4" x14ac:dyDescent="0.25">
      <c r="A640" s="15" t="s">
        <v>43</v>
      </c>
      <c r="B640" s="15" t="s">
        <v>231</v>
      </c>
      <c r="C640" s="15" t="s">
        <v>35</v>
      </c>
      <c r="D640" s="15" t="s">
        <v>874</v>
      </c>
    </row>
    <row r="641" spans="1:4" x14ac:dyDescent="0.25">
      <c r="A641" s="16" t="s">
        <v>43</v>
      </c>
      <c r="B641" s="16" t="s">
        <v>241</v>
      </c>
      <c r="C641" s="16" t="s">
        <v>149</v>
      </c>
      <c r="D641" s="16" t="s">
        <v>875</v>
      </c>
    </row>
    <row r="642" spans="1:4" x14ac:dyDescent="0.25">
      <c r="A642" s="16" t="s">
        <v>43</v>
      </c>
      <c r="B642" s="16" t="s">
        <v>241</v>
      </c>
      <c r="C642" s="16" t="s">
        <v>0</v>
      </c>
      <c r="D642" s="16" t="s">
        <v>876</v>
      </c>
    </row>
    <row r="643" spans="1:4" x14ac:dyDescent="0.25">
      <c r="A643" s="16" t="s">
        <v>43</v>
      </c>
      <c r="B643" s="16" t="s">
        <v>241</v>
      </c>
      <c r="C643" s="16" t="s">
        <v>2</v>
      </c>
      <c r="D643" s="16" t="s">
        <v>877</v>
      </c>
    </row>
    <row r="644" spans="1:4" x14ac:dyDescent="0.25">
      <c r="A644" s="16" t="s">
        <v>43</v>
      </c>
      <c r="B644" s="16" t="s">
        <v>241</v>
      </c>
      <c r="C644" s="16" t="s">
        <v>3</v>
      </c>
      <c r="D644" s="16" t="s">
        <v>878</v>
      </c>
    </row>
    <row r="645" spans="1:4" x14ac:dyDescent="0.25">
      <c r="A645" s="16" t="s">
        <v>43</v>
      </c>
      <c r="B645" s="16" t="s">
        <v>241</v>
      </c>
      <c r="C645" s="16" t="s">
        <v>4</v>
      </c>
      <c r="D645" s="16" t="s">
        <v>879</v>
      </c>
    </row>
    <row r="646" spans="1:4" x14ac:dyDescent="0.25">
      <c r="A646" s="16" t="s">
        <v>43</v>
      </c>
      <c r="B646" s="16" t="s">
        <v>241</v>
      </c>
      <c r="C646" s="16" t="s">
        <v>5</v>
      </c>
      <c r="D646" s="16" t="s">
        <v>880</v>
      </c>
    </row>
    <row r="647" spans="1:4" x14ac:dyDescent="0.25">
      <c r="A647" s="16" t="s">
        <v>43</v>
      </c>
      <c r="B647" s="16" t="s">
        <v>241</v>
      </c>
      <c r="C647" s="16" t="s">
        <v>6</v>
      </c>
      <c r="D647" s="16" t="s">
        <v>881</v>
      </c>
    </row>
    <row r="648" spans="1:4" x14ac:dyDescent="0.25">
      <c r="A648" s="16" t="s">
        <v>43</v>
      </c>
      <c r="B648" s="16" t="s">
        <v>241</v>
      </c>
      <c r="C648" s="16" t="s">
        <v>34</v>
      </c>
      <c r="D648" s="16" t="s">
        <v>882</v>
      </c>
    </row>
    <row r="649" spans="1:4" x14ac:dyDescent="0.25">
      <c r="A649" s="16" t="s">
        <v>43</v>
      </c>
      <c r="B649" s="16" t="s">
        <v>241</v>
      </c>
      <c r="C649" s="16" t="s">
        <v>35</v>
      </c>
      <c r="D649" s="16" t="s">
        <v>883</v>
      </c>
    </row>
    <row r="650" spans="1:4" x14ac:dyDescent="0.25">
      <c r="A650" s="17" t="s">
        <v>43</v>
      </c>
      <c r="B650" s="17" t="s">
        <v>251</v>
      </c>
      <c r="C650" s="17" t="s">
        <v>149</v>
      </c>
      <c r="D650" s="17" t="s">
        <v>884</v>
      </c>
    </row>
    <row r="651" spans="1:4" x14ac:dyDescent="0.25">
      <c r="A651" s="17" t="s">
        <v>43</v>
      </c>
      <c r="B651" s="17" t="s">
        <v>251</v>
      </c>
      <c r="C651" s="17" t="s">
        <v>0</v>
      </c>
      <c r="D651" s="17" t="s">
        <v>885</v>
      </c>
    </row>
    <row r="652" spans="1:4" x14ac:dyDescent="0.25">
      <c r="A652" s="17" t="s">
        <v>43</v>
      </c>
      <c r="B652" s="17" t="s">
        <v>251</v>
      </c>
      <c r="C652" s="17" t="s">
        <v>2</v>
      </c>
      <c r="D652" s="17" t="s">
        <v>886</v>
      </c>
    </row>
    <row r="653" spans="1:4" x14ac:dyDescent="0.25">
      <c r="A653" s="17" t="s">
        <v>43</v>
      </c>
      <c r="B653" s="17" t="s">
        <v>251</v>
      </c>
      <c r="C653" s="17" t="s">
        <v>3</v>
      </c>
      <c r="D653" s="17" t="s">
        <v>887</v>
      </c>
    </row>
    <row r="654" spans="1:4" x14ac:dyDescent="0.25">
      <c r="A654" s="17" t="s">
        <v>43</v>
      </c>
      <c r="B654" s="17" t="s">
        <v>251</v>
      </c>
      <c r="C654" s="17" t="s">
        <v>4</v>
      </c>
      <c r="D654" s="17" t="s">
        <v>888</v>
      </c>
    </row>
    <row r="655" spans="1:4" x14ac:dyDescent="0.25">
      <c r="A655" s="17" t="s">
        <v>43</v>
      </c>
      <c r="B655" s="17" t="s">
        <v>251</v>
      </c>
      <c r="C655" s="17" t="s">
        <v>5</v>
      </c>
      <c r="D655" s="17" t="s">
        <v>889</v>
      </c>
    </row>
    <row r="656" spans="1:4" x14ac:dyDescent="0.25">
      <c r="A656" s="17" t="s">
        <v>43</v>
      </c>
      <c r="B656" s="17" t="s">
        <v>251</v>
      </c>
      <c r="C656" s="17" t="s">
        <v>6</v>
      </c>
      <c r="D656" s="17" t="s">
        <v>890</v>
      </c>
    </row>
    <row r="657" spans="1:4" x14ac:dyDescent="0.25">
      <c r="A657" s="17" t="s">
        <v>43</v>
      </c>
      <c r="B657" s="17" t="s">
        <v>251</v>
      </c>
      <c r="C657" s="17" t="s">
        <v>34</v>
      </c>
      <c r="D657" s="17" t="s">
        <v>891</v>
      </c>
    </row>
    <row r="658" spans="1:4" x14ac:dyDescent="0.25">
      <c r="A658" s="17" t="s">
        <v>43</v>
      </c>
      <c r="B658" s="17" t="s">
        <v>251</v>
      </c>
      <c r="C658" s="17" t="s">
        <v>35</v>
      </c>
      <c r="D658" s="17" t="s">
        <v>892</v>
      </c>
    </row>
    <row r="659" spans="1:4" x14ac:dyDescent="0.25">
      <c r="A659" s="18" t="s">
        <v>43</v>
      </c>
      <c r="B659" s="18" t="s">
        <v>261</v>
      </c>
      <c r="C659" s="18" t="s">
        <v>149</v>
      </c>
      <c r="D659" s="18" t="s">
        <v>893</v>
      </c>
    </row>
    <row r="660" spans="1:4" x14ac:dyDescent="0.25">
      <c r="A660" s="18" t="s">
        <v>43</v>
      </c>
      <c r="B660" s="18" t="s">
        <v>261</v>
      </c>
      <c r="C660" s="18" t="s">
        <v>0</v>
      </c>
      <c r="D660" s="18" t="s">
        <v>894</v>
      </c>
    </row>
    <row r="661" spans="1:4" x14ac:dyDescent="0.25">
      <c r="A661" s="18" t="s">
        <v>43</v>
      </c>
      <c r="B661" s="18" t="s">
        <v>261</v>
      </c>
      <c r="C661" s="18" t="s">
        <v>2</v>
      </c>
      <c r="D661" s="18" t="s">
        <v>895</v>
      </c>
    </row>
    <row r="662" spans="1:4" x14ac:dyDescent="0.25">
      <c r="A662" s="18" t="s">
        <v>43</v>
      </c>
      <c r="B662" s="18" t="s">
        <v>261</v>
      </c>
      <c r="C662" s="18" t="s">
        <v>3</v>
      </c>
      <c r="D662" s="18" t="s">
        <v>896</v>
      </c>
    </row>
    <row r="663" spans="1:4" x14ac:dyDescent="0.25">
      <c r="A663" s="18" t="s">
        <v>43</v>
      </c>
      <c r="B663" s="18" t="s">
        <v>261</v>
      </c>
      <c r="C663" s="18" t="s">
        <v>4</v>
      </c>
      <c r="D663" s="18" t="s">
        <v>897</v>
      </c>
    </row>
    <row r="664" spans="1:4" x14ac:dyDescent="0.25">
      <c r="A664" s="18" t="s">
        <v>43</v>
      </c>
      <c r="B664" s="18" t="s">
        <v>261</v>
      </c>
      <c r="C664" s="18" t="s">
        <v>5</v>
      </c>
      <c r="D664" s="18" t="s">
        <v>898</v>
      </c>
    </row>
    <row r="665" spans="1:4" x14ac:dyDescent="0.25">
      <c r="A665" s="18" t="s">
        <v>43</v>
      </c>
      <c r="B665" s="18" t="s">
        <v>261</v>
      </c>
      <c r="C665" s="18" t="s">
        <v>6</v>
      </c>
      <c r="D665" s="18" t="s">
        <v>899</v>
      </c>
    </row>
    <row r="666" spans="1:4" x14ac:dyDescent="0.25">
      <c r="A666" s="18" t="s">
        <v>43</v>
      </c>
      <c r="B666" s="18" t="s">
        <v>261</v>
      </c>
      <c r="C666" s="18" t="s">
        <v>34</v>
      </c>
      <c r="D666" s="18" t="s">
        <v>900</v>
      </c>
    </row>
    <row r="667" spans="1:4" x14ac:dyDescent="0.25">
      <c r="A667" s="18" t="s">
        <v>43</v>
      </c>
      <c r="B667" s="18" t="s">
        <v>261</v>
      </c>
      <c r="C667" s="18" t="s">
        <v>35</v>
      </c>
      <c r="D667" s="18" t="s">
        <v>901</v>
      </c>
    </row>
    <row r="668" spans="1:4" x14ac:dyDescent="0.25">
      <c r="A668" s="19" t="s">
        <v>43</v>
      </c>
      <c r="B668" s="19" t="s">
        <v>271</v>
      </c>
      <c r="C668" s="19" t="s">
        <v>149</v>
      </c>
      <c r="D668" s="19" t="s">
        <v>902</v>
      </c>
    </row>
    <row r="669" spans="1:4" x14ac:dyDescent="0.25">
      <c r="A669" s="19" t="s">
        <v>43</v>
      </c>
      <c r="B669" s="19" t="s">
        <v>271</v>
      </c>
      <c r="C669" s="19" t="s">
        <v>0</v>
      </c>
      <c r="D669" s="19" t="s">
        <v>903</v>
      </c>
    </row>
    <row r="670" spans="1:4" x14ac:dyDescent="0.25">
      <c r="A670" s="19" t="s">
        <v>43</v>
      </c>
      <c r="B670" s="19" t="s">
        <v>271</v>
      </c>
      <c r="C670" s="19" t="s">
        <v>2</v>
      </c>
      <c r="D670" s="19" t="s">
        <v>904</v>
      </c>
    </row>
    <row r="671" spans="1:4" x14ac:dyDescent="0.25">
      <c r="A671" s="19" t="s">
        <v>43</v>
      </c>
      <c r="B671" s="19" t="s">
        <v>271</v>
      </c>
      <c r="C671" s="19" t="s">
        <v>3</v>
      </c>
      <c r="D671" s="19" t="s">
        <v>905</v>
      </c>
    </row>
    <row r="672" spans="1:4" x14ac:dyDescent="0.25">
      <c r="A672" s="19" t="s">
        <v>43</v>
      </c>
      <c r="B672" s="19" t="s">
        <v>271</v>
      </c>
      <c r="C672" s="19" t="s">
        <v>4</v>
      </c>
      <c r="D672" s="19" t="s">
        <v>906</v>
      </c>
    </row>
    <row r="673" spans="1:4" x14ac:dyDescent="0.25">
      <c r="A673" s="19" t="s">
        <v>43</v>
      </c>
      <c r="B673" s="19" t="s">
        <v>271</v>
      </c>
      <c r="C673" s="19" t="s">
        <v>5</v>
      </c>
      <c r="D673" s="19" t="s">
        <v>907</v>
      </c>
    </row>
    <row r="674" spans="1:4" x14ac:dyDescent="0.25">
      <c r="A674" s="19" t="s">
        <v>43</v>
      </c>
      <c r="B674" s="19" t="s">
        <v>271</v>
      </c>
      <c r="C674" s="19" t="s">
        <v>6</v>
      </c>
      <c r="D674" s="19" t="s">
        <v>908</v>
      </c>
    </row>
    <row r="675" spans="1:4" x14ac:dyDescent="0.25">
      <c r="A675" s="19" t="s">
        <v>43</v>
      </c>
      <c r="B675" s="19" t="s">
        <v>271</v>
      </c>
      <c r="C675" s="19" t="s">
        <v>34</v>
      </c>
      <c r="D675" s="19" t="s">
        <v>909</v>
      </c>
    </row>
    <row r="676" spans="1:4" x14ac:dyDescent="0.25">
      <c r="A676" s="19" t="s">
        <v>43</v>
      </c>
      <c r="B676" s="19" t="s">
        <v>271</v>
      </c>
      <c r="C676" s="19" t="s">
        <v>35</v>
      </c>
      <c r="D676" s="19" t="s">
        <v>910</v>
      </c>
    </row>
    <row r="677" spans="1:4" x14ac:dyDescent="0.25">
      <c r="A677" s="15" t="s">
        <v>55</v>
      </c>
      <c r="B677" s="15" t="s">
        <v>231</v>
      </c>
      <c r="C677" s="15" t="s">
        <v>149</v>
      </c>
      <c r="D677" s="15" t="s">
        <v>911</v>
      </c>
    </row>
    <row r="678" spans="1:4" x14ac:dyDescent="0.25">
      <c r="A678" s="15" t="s">
        <v>55</v>
      </c>
      <c r="B678" s="15" t="s">
        <v>231</v>
      </c>
      <c r="C678" s="15" t="s">
        <v>0</v>
      </c>
      <c r="D678" s="15" t="s">
        <v>912</v>
      </c>
    </row>
    <row r="679" spans="1:4" x14ac:dyDescent="0.25">
      <c r="A679" s="15" t="s">
        <v>55</v>
      </c>
      <c r="B679" s="15" t="s">
        <v>231</v>
      </c>
      <c r="C679" s="15" t="s">
        <v>2</v>
      </c>
      <c r="D679" s="15" t="s">
        <v>913</v>
      </c>
    </row>
    <row r="680" spans="1:4" x14ac:dyDescent="0.25">
      <c r="A680" s="15" t="s">
        <v>55</v>
      </c>
      <c r="B680" s="15" t="s">
        <v>231</v>
      </c>
      <c r="C680" s="15" t="s">
        <v>3</v>
      </c>
      <c r="D680" s="15" t="s">
        <v>914</v>
      </c>
    </row>
    <row r="681" spans="1:4" x14ac:dyDescent="0.25">
      <c r="A681" s="15" t="s">
        <v>55</v>
      </c>
      <c r="B681" s="15" t="s">
        <v>231</v>
      </c>
      <c r="C681" s="15" t="s">
        <v>4</v>
      </c>
      <c r="D681" s="15" t="s">
        <v>915</v>
      </c>
    </row>
    <row r="682" spans="1:4" x14ac:dyDescent="0.25">
      <c r="A682" s="15" t="s">
        <v>55</v>
      </c>
      <c r="B682" s="15" t="s">
        <v>231</v>
      </c>
      <c r="C682" s="15" t="s">
        <v>5</v>
      </c>
      <c r="D682" s="15" t="s">
        <v>916</v>
      </c>
    </row>
    <row r="683" spans="1:4" x14ac:dyDescent="0.25">
      <c r="A683" s="15" t="s">
        <v>55</v>
      </c>
      <c r="B683" s="15" t="s">
        <v>231</v>
      </c>
      <c r="C683" s="15" t="s">
        <v>6</v>
      </c>
      <c r="D683" s="15" t="s">
        <v>917</v>
      </c>
    </row>
    <row r="684" spans="1:4" x14ac:dyDescent="0.25">
      <c r="A684" s="15" t="s">
        <v>55</v>
      </c>
      <c r="B684" s="15" t="s">
        <v>231</v>
      </c>
      <c r="C684" s="15" t="s">
        <v>34</v>
      </c>
      <c r="D684" s="15" t="s">
        <v>918</v>
      </c>
    </row>
    <row r="685" spans="1:4" x14ac:dyDescent="0.25">
      <c r="A685" s="15" t="s">
        <v>55</v>
      </c>
      <c r="B685" s="15" t="s">
        <v>231</v>
      </c>
      <c r="C685" s="15" t="s">
        <v>35</v>
      </c>
      <c r="D685" s="15" t="s">
        <v>919</v>
      </c>
    </row>
    <row r="686" spans="1:4" x14ac:dyDescent="0.25">
      <c r="A686" s="16" t="s">
        <v>55</v>
      </c>
      <c r="B686" s="16" t="s">
        <v>241</v>
      </c>
      <c r="C686" s="16" t="s">
        <v>149</v>
      </c>
      <c r="D686" s="16" t="s">
        <v>920</v>
      </c>
    </row>
    <row r="687" spans="1:4" x14ac:dyDescent="0.25">
      <c r="A687" s="16" t="s">
        <v>55</v>
      </c>
      <c r="B687" s="16" t="s">
        <v>241</v>
      </c>
      <c r="C687" s="16" t="s">
        <v>0</v>
      </c>
      <c r="D687" s="16" t="s">
        <v>921</v>
      </c>
    </row>
    <row r="688" spans="1:4" x14ac:dyDescent="0.25">
      <c r="A688" s="16" t="s">
        <v>55</v>
      </c>
      <c r="B688" s="16" t="s">
        <v>241</v>
      </c>
      <c r="C688" s="16" t="s">
        <v>2</v>
      </c>
      <c r="D688" s="16" t="s">
        <v>922</v>
      </c>
    </row>
    <row r="689" spans="1:4" x14ac:dyDescent="0.25">
      <c r="A689" s="16" t="s">
        <v>55</v>
      </c>
      <c r="B689" s="16" t="s">
        <v>241</v>
      </c>
      <c r="C689" s="16" t="s">
        <v>3</v>
      </c>
      <c r="D689" s="16" t="s">
        <v>923</v>
      </c>
    </row>
    <row r="690" spans="1:4" x14ac:dyDescent="0.25">
      <c r="A690" s="16" t="s">
        <v>55</v>
      </c>
      <c r="B690" s="16" t="s">
        <v>241</v>
      </c>
      <c r="C690" s="16" t="s">
        <v>4</v>
      </c>
      <c r="D690" s="16" t="s">
        <v>924</v>
      </c>
    </row>
    <row r="691" spans="1:4" x14ac:dyDescent="0.25">
      <c r="A691" s="16" t="s">
        <v>55</v>
      </c>
      <c r="B691" s="16" t="s">
        <v>241</v>
      </c>
      <c r="C691" s="16" t="s">
        <v>5</v>
      </c>
      <c r="D691" s="16" t="s">
        <v>925</v>
      </c>
    </row>
    <row r="692" spans="1:4" x14ac:dyDescent="0.25">
      <c r="A692" s="16" t="s">
        <v>55</v>
      </c>
      <c r="B692" s="16" t="s">
        <v>241</v>
      </c>
      <c r="C692" s="16" t="s">
        <v>6</v>
      </c>
      <c r="D692" s="16" t="s">
        <v>926</v>
      </c>
    </row>
    <row r="693" spans="1:4" x14ac:dyDescent="0.25">
      <c r="A693" s="16" t="s">
        <v>55</v>
      </c>
      <c r="B693" s="16" t="s">
        <v>241</v>
      </c>
      <c r="C693" s="16" t="s">
        <v>34</v>
      </c>
      <c r="D693" s="16" t="s">
        <v>927</v>
      </c>
    </row>
    <row r="694" spans="1:4" x14ac:dyDescent="0.25">
      <c r="A694" s="16" t="s">
        <v>55</v>
      </c>
      <c r="B694" s="16" t="s">
        <v>241</v>
      </c>
      <c r="C694" s="16" t="s">
        <v>35</v>
      </c>
      <c r="D694" s="16" t="s">
        <v>928</v>
      </c>
    </row>
    <row r="695" spans="1:4" x14ac:dyDescent="0.25">
      <c r="A695" s="17" t="s">
        <v>55</v>
      </c>
      <c r="B695" s="17" t="s">
        <v>251</v>
      </c>
      <c r="C695" s="17" t="s">
        <v>149</v>
      </c>
      <c r="D695" s="17" t="s">
        <v>929</v>
      </c>
    </row>
    <row r="696" spans="1:4" x14ac:dyDescent="0.25">
      <c r="A696" s="17" t="s">
        <v>55</v>
      </c>
      <c r="B696" s="17" t="s">
        <v>251</v>
      </c>
      <c r="C696" s="17" t="s">
        <v>0</v>
      </c>
      <c r="D696" s="17" t="s">
        <v>930</v>
      </c>
    </row>
    <row r="697" spans="1:4" x14ac:dyDescent="0.25">
      <c r="A697" s="17" t="s">
        <v>55</v>
      </c>
      <c r="B697" s="17" t="s">
        <v>251</v>
      </c>
      <c r="C697" s="17" t="s">
        <v>2</v>
      </c>
      <c r="D697" s="17" t="s">
        <v>931</v>
      </c>
    </row>
    <row r="698" spans="1:4" x14ac:dyDescent="0.25">
      <c r="A698" s="17" t="s">
        <v>55</v>
      </c>
      <c r="B698" s="17" t="s">
        <v>251</v>
      </c>
      <c r="C698" s="17" t="s">
        <v>3</v>
      </c>
      <c r="D698" s="17" t="s">
        <v>932</v>
      </c>
    </row>
    <row r="699" spans="1:4" x14ac:dyDescent="0.25">
      <c r="A699" s="17" t="s">
        <v>55</v>
      </c>
      <c r="B699" s="17" t="s">
        <v>251</v>
      </c>
      <c r="C699" s="17" t="s">
        <v>4</v>
      </c>
      <c r="D699" s="17" t="s">
        <v>933</v>
      </c>
    </row>
    <row r="700" spans="1:4" x14ac:dyDescent="0.25">
      <c r="A700" s="17" t="s">
        <v>55</v>
      </c>
      <c r="B700" s="17" t="s">
        <v>251</v>
      </c>
      <c r="C700" s="17" t="s">
        <v>5</v>
      </c>
      <c r="D700" s="17" t="s">
        <v>934</v>
      </c>
    </row>
    <row r="701" spans="1:4" x14ac:dyDescent="0.25">
      <c r="A701" s="17" t="s">
        <v>55</v>
      </c>
      <c r="B701" s="17" t="s">
        <v>251</v>
      </c>
      <c r="C701" s="17" t="s">
        <v>6</v>
      </c>
      <c r="D701" s="17" t="s">
        <v>935</v>
      </c>
    </row>
    <row r="702" spans="1:4" x14ac:dyDescent="0.25">
      <c r="A702" s="17" t="s">
        <v>55</v>
      </c>
      <c r="B702" s="17" t="s">
        <v>251</v>
      </c>
      <c r="C702" s="17" t="s">
        <v>34</v>
      </c>
      <c r="D702" s="17" t="s">
        <v>936</v>
      </c>
    </row>
    <row r="703" spans="1:4" x14ac:dyDescent="0.25">
      <c r="A703" s="17" t="s">
        <v>55</v>
      </c>
      <c r="B703" s="17" t="s">
        <v>251</v>
      </c>
      <c r="C703" s="17" t="s">
        <v>35</v>
      </c>
      <c r="D703" s="17" t="s">
        <v>937</v>
      </c>
    </row>
    <row r="704" spans="1:4" x14ac:dyDescent="0.25">
      <c r="A704" s="18" t="s">
        <v>55</v>
      </c>
      <c r="B704" s="18" t="s">
        <v>261</v>
      </c>
      <c r="C704" s="18" t="s">
        <v>149</v>
      </c>
      <c r="D704" s="18" t="s">
        <v>938</v>
      </c>
    </row>
    <row r="705" spans="1:4" x14ac:dyDescent="0.25">
      <c r="A705" s="18" t="s">
        <v>55</v>
      </c>
      <c r="B705" s="18" t="s">
        <v>261</v>
      </c>
      <c r="C705" s="18" t="s">
        <v>0</v>
      </c>
      <c r="D705" s="18" t="s">
        <v>939</v>
      </c>
    </row>
    <row r="706" spans="1:4" x14ac:dyDescent="0.25">
      <c r="A706" s="18" t="s">
        <v>55</v>
      </c>
      <c r="B706" s="18" t="s">
        <v>261</v>
      </c>
      <c r="C706" s="18" t="s">
        <v>2</v>
      </c>
      <c r="D706" s="18" t="s">
        <v>940</v>
      </c>
    </row>
    <row r="707" spans="1:4" x14ac:dyDescent="0.25">
      <c r="A707" s="18" t="s">
        <v>55</v>
      </c>
      <c r="B707" s="18" t="s">
        <v>261</v>
      </c>
      <c r="C707" s="18" t="s">
        <v>3</v>
      </c>
      <c r="D707" s="18" t="s">
        <v>941</v>
      </c>
    </row>
    <row r="708" spans="1:4" x14ac:dyDescent="0.25">
      <c r="A708" s="18" t="s">
        <v>55</v>
      </c>
      <c r="B708" s="18" t="s">
        <v>261</v>
      </c>
      <c r="C708" s="18" t="s">
        <v>4</v>
      </c>
      <c r="D708" s="18" t="s">
        <v>942</v>
      </c>
    </row>
    <row r="709" spans="1:4" x14ac:dyDescent="0.25">
      <c r="A709" s="18" t="s">
        <v>55</v>
      </c>
      <c r="B709" s="18" t="s">
        <v>261</v>
      </c>
      <c r="C709" s="18" t="s">
        <v>5</v>
      </c>
      <c r="D709" s="18" t="s">
        <v>943</v>
      </c>
    </row>
    <row r="710" spans="1:4" x14ac:dyDescent="0.25">
      <c r="A710" s="18" t="s">
        <v>55</v>
      </c>
      <c r="B710" s="18" t="s">
        <v>261</v>
      </c>
      <c r="C710" s="18" t="s">
        <v>6</v>
      </c>
      <c r="D710" s="18" t="s">
        <v>944</v>
      </c>
    </row>
    <row r="711" spans="1:4" x14ac:dyDescent="0.25">
      <c r="A711" s="18" t="s">
        <v>55</v>
      </c>
      <c r="B711" s="18" t="s">
        <v>261</v>
      </c>
      <c r="C711" s="18" t="s">
        <v>34</v>
      </c>
      <c r="D711" s="18" t="s">
        <v>945</v>
      </c>
    </row>
    <row r="712" spans="1:4" x14ac:dyDescent="0.25">
      <c r="A712" s="18" t="s">
        <v>55</v>
      </c>
      <c r="B712" s="18" t="s">
        <v>261</v>
      </c>
      <c r="C712" s="18" t="s">
        <v>35</v>
      </c>
      <c r="D712" s="18" t="s">
        <v>946</v>
      </c>
    </row>
    <row r="713" spans="1:4" x14ac:dyDescent="0.25">
      <c r="A713" s="19" t="s">
        <v>55</v>
      </c>
      <c r="B713" s="19" t="s">
        <v>271</v>
      </c>
      <c r="C713" s="19" t="s">
        <v>149</v>
      </c>
      <c r="D713" s="19" t="s">
        <v>947</v>
      </c>
    </row>
    <row r="714" spans="1:4" x14ac:dyDescent="0.25">
      <c r="A714" s="19" t="s">
        <v>55</v>
      </c>
      <c r="B714" s="19" t="s">
        <v>271</v>
      </c>
      <c r="C714" s="19" t="s">
        <v>0</v>
      </c>
      <c r="D714" s="19" t="s">
        <v>948</v>
      </c>
    </row>
    <row r="715" spans="1:4" x14ac:dyDescent="0.25">
      <c r="A715" s="19" t="s">
        <v>55</v>
      </c>
      <c r="B715" s="19" t="s">
        <v>271</v>
      </c>
      <c r="C715" s="19" t="s">
        <v>2</v>
      </c>
      <c r="D715" s="19" t="s">
        <v>949</v>
      </c>
    </row>
    <row r="716" spans="1:4" x14ac:dyDescent="0.25">
      <c r="A716" s="19" t="s">
        <v>55</v>
      </c>
      <c r="B716" s="19" t="s">
        <v>271</v>
      </c>
      <c r="C716" s="19" t="s">
        <v>3</v>
      </c>
      <c r="D716" s="19" t="s">
        <v>950</v>
      </c>
    </row>
    <row r="717" spans="1:4" x14ac:dyDescent="0.25">
      <c r="A717" s="19" t="s">
        <v>55</v>
      </c>
      <c r="B717" s="19" t="s">
        <v>271</v>
      </c>
      <c r="C717" s="19" t="s">
        <v>4</v>
      </c>
      <c r="D717" s="19" t="s">
        <v>951</v>
      </c>
    </row>
    <row r="718" spans="1:4" x14ac:dyDescent="0.25">
      <c r="A718" s="19" t="s">
        <v>55</v>
      </c>
      <c r="B718" s="19" t="s">
        <v>271</v>
      </c>
      <c r="C718" s="19" t="s">
        <v>5</v>
      </c>
      <c r="D718" s="19" t="s">
        <v>952</v>
      </c>
    </row>
    <row r="719" spans="1:4" x14ac:dyDescent="0.25">
      <c r="A719" s="19" t="s">
        <v>55</v>
      </c>
      <c r="B719" s="19" t="s">
        <v>271</v>
      </c>
      <c r="C719" s="19" t="s">
        <v>6</v>
      </c>
      <c r="D719" s="19" t="s">
        <v>953</v>
      </c>
    </row>
    <row r="720" spans="1:4" x14ac:dyDescent="0.25">
      <c r="A720" s="19" t="s">
        <v>55</v>
      </c>
      <c r="B720" s="19" t="s">
        <v>271</v>
      </c>
      <c r="C720" s="19" t="s">
        <v>34</v>
      </c>
      <c r="D720" s="19" t="s">
        <v>954</v>
      </c>
    </row>
    <row r="721" spans="1:4" x14ac:dyDescent="0.25">
      <c r="A721" s="19" t="s">
        <v>55</v>
      </c>
      <c r="B721" s="19" t="s">
        <v>271</v>
      </c>
      <c r="C721" s="19" t="s">
        <v>35</v>
      </c>
      <c r="D721" s="19" t="s">
        <v>955</v>
      </c>
    </row>
    <row r="722" spans="1:4" x14ac:dyDescent="0.25">
      <c r="A722" s="15" t="s">
        <v>56</v>
      </c>
      <c r="B722" s="15" t="s">
        <v>231</v>
      </c>
      <c r="C722" s="15" t="s">
        <v>149</v>
      </c>
      <c r="D722" s="15" t="s">
        <v>956</v>
      </c>
    </row>
    <row r="723" spans="1:4" x14ac:dyDescent="0.25">
      <c r="A723" s="15" t="s">
        <v>56</v>
      </c>
      <c r="B723" s="15" t="s">
        <v>231</v>
      </c>
      <c r="C723" s="15" t="s">
        <v>0</v>
      </c>
      <c r="D723" s="15" t="s">
        <v>957</v>
      </c>
    </row>
    <row r="724" spans="1:4" x14ac:dyDescent="0.25">
      <c r="A724" s="15" t="s">
        <v>56</v>
      </c>
      <c r="B724" s="15" t="s">
        <v>231</v>
      </c>
      <c r="C724" s="15" t="s">
        <v>2</v>
      </c>
      <c r="D724" s="15" t="s">
        <v>958</v>
      </c>
    </row>
    <row r="725" spans="1:4" x14ac:dyDescent="0.25">
      <c r="A725" s="15" t="s">
        <v>56</v>
      </c>
      <c r="B725" s="15" t="s">
        <v>231</v>
      </c>
      <c r="C725" s="15" t="s">
        <v>3</v>
      </c>
      <c r="D725" s="15" t="s">
        <v>959</v>
      </c>
    </row>
    <row r="726" spans="1:4" x14ac:dyDescent="0.25">
      <c r="A726" s="15" t="s">
        <v>56</v>
      </c>
      <c r="B726" s="15" t="s">
        <v>231</v>
      </c>
      <c r="C726" s="15" t="s">
        <v>4</v>
      </c>
      <c r="D726" s="15" t="s">
        <v>960</v>
      </c>
    </row>
    <row r="727" spans="1:4" x14ac:dyDescent="0.25">
      <c r="A727" s="15" t="s">
        <v>56</v>
      </c>
      <c r="B727" s="15" t="s">
        <v>231</v>
      </c>
      <c r="C727" s="15" t="s">
        <v>5</v>
      </c>
      <c r="D727" s="15" t="s">
        <v>961</v>
      </c>
    </row>
    <row r="728" spans="1:4" x14ac:dyDescent="0.25">
      <c r="A728" s="15" t="s">
        <v>56</v>
      </c>
      <c r="B728" s="15" t="s">
        <v>231</v>
      </c>
      <c r="C728" s="15" t="s">
        <v>6</v>
      </c>
      <c r="D728" s="15" t="s">
        <v>962</v>
      </c>
    </row>
    <row r="729" spans="1:4" x14ac:dyDescent="0.25">
      <c r="A729" s="15" t="s">
        <v>56</v>
      </c>
      <c r="B729" s="15" t="s">
        <v>231</v>
      </c>
      <c r="C729" s="15" t="s">
        <v>34</v>
      </c>
      <c r="D729" s="15" t="s">
        <v>963</v>
      </c>
    </row>
    <row r="730" spans="1:4" x14ac:dyDescent="0.25">
      <c r="A730" s="15" t="s">
        <v>56</v>
      </c>
      <c r="B730" s="15" t="s">
        <v>231</v>
      </c>
      <c r="C730" s="15" t="s">
        <v>35</v>
      </c>
      <c r="D730" s="15" t="s">
        <v>964</v>
      </c>
    </row>
    <row r="731" spans="1:4" x14ac:dyDescent="0.25">
      <c r="A731" s="16" t="s">
        <v>56</v>
      </c>
      <c r="B731" s="16" t="s">
        <v>241</v>
      </c>
      <c r="C731" s="16" t="s">
        <v>149</v>
      </c>
      <c r="D731" s="16" t="s">
        <v>965</v>
      </c>
    </row>
    <row r="732" spans="1:4" x14ac:dyDescent="0.25">
      <c r="A732" s="16" t="s">
        <v>56</v>
      </c>
      <c r="B732" s="16" t="s">
        <v>241</v>
      </c>
      <c r="C732" s="16" t="s">
        <v>0</v>
      </c>
      <c r="D732" s="16" t="s">
        <v>966</v>
      </c>
    </row>
    <row r="733" spans="1:4" x14ac:dyDescent="0.25">
      <c r="A733" s="16" t="s">
        <v>56</v>
      </c>
      <c r="B733" s="16" t="s">
        <v>241</v>
      </c>
      <c r="C733" s="16" t="s">
        <v>2</v>
      </c>
      <c r="D733" s="16" t="s">
        <v>967</v>
      </c>
    </row>
    <row r="734" spans="1:4" x14ac:dyDescent="0.25">
      <c r="A734" s="16" t="s">
        <v>56</v>
      </c>
      <c r="B734" s="16" t="s">
        <v>241</v>
      </c>
      <c r="C734" s="16" t="s">
        <v>3</v>
      </c>
      <c r="D734" s="16" t="s">
        <v>968</v>
      </c>
    </row>
    <row r="735" spans="1:4" x14ac:dyDescent="0.25">
      <c r="A735" s="16" t="s">
        <v>56</v>
      </c>
      <c r="B735" s="16" t="s">
        <v>241</v>
      </c>
      <c r="C735" s="16" t="s">
        <v>4</v>
      </c>
      <c r="D735" s="16" t="s">
        <v>969</v>
      </c>
    </row>
    <row r="736" spans="1:4" x14ac:dyDescent="0.25">
      <c r="A736" s="16" t="s">
        <v>56</v>
      </c>
      <c r="B736" s="16" t="s">
        <v>241</v>
      </c>
      <c r="C736" s="16" t="s">
        <v>5</v>
      </c>
      <c r="D736" s="16" t="s">
        <v>970</v>
      </c>
    </row>
    <row r="737" spans="1:4" x14ac:dyDescent="0.25">
      <c r="A737" s="16" t="s">
        <v>56</v>
      </c>
      <c r="B737" s="16" t="s">
        <v>241</v>
      </c>
      <c r="C737" s="16" t="s">
        <v>6</v>
      </c>
      <c r="D737" s="16" t="s">
        <v>971</v>
      </c>
    </row>
    <row r="738" spans="1:4" x14ac:dyDescent="0.25">
      <c r="A738" s="16" t="s">
        <v>56</v>
      </c>
      <c r="B738" s="16" t="s">
        <v>241</v>
      </c>
      <c r="C738" s="16" t="s">
        <v>34</v>
      </c>
      <c r="D738" s="16" t="s">
        <v>972</v>
      </c>
    </row>
    <row r="739" spans="1:4" x14ac:dyDescent="0.25">
      <c r="A739" s="16" t="s">
        <v>56</v>
      </c>
      <c r="B739" s="16" t="s">
        <v>241</v>
      </c>
      <c r="C739" s="16" t="s">
        <v>35</v>
      </c>
      <c r="D739" s="16" t="s">
        <v>973</v>
      </c>
    </row>
    <row r="740" spans="1:4" x14ac:dyDescent="0.25">
      <c r="A740" s="17" t="s">
        <v>56</v>
      </c>
      <c r="B740" s="17" t="s">
        <v>251</v>
      </c>
      <c r="C740" s="17" t="s">
        <v>149</v>
      </c>
      <c r="D740" s="17" t="s">
        <v>974</v>
      </c>
    </row>
    <row r="741" spans="1:4" x14ac:dyDescent="0.25">
      <c r="A741" s="17" t="s">
        <v>56</v>
      </c>
      <c r="B741" s="17" t="s">
        <v>251</v>
      </c>
      <c r="C741" s="17" t="s">
        <v>0</v>
      </c>
      <c r="D741" s="17" t="s">
        <v>975</v>
      </c>
    </row>
    <row r="742" spans="1:4" x14ac:dyDescent="0.25">
      <c r="A742" s="17" t="s">
        <v>56</v>
      </c>
      <c r="B742" s="17" t="s">
        <v>251</v>
      </c>
      <c r="C742" s="17" t="s">
        <v>2</v>
      </c>
      <c r="D742" s="17" t="s">
        <v>976</v>
      </c>
    </row>
    <row r="743" spans="1:4" x14ac:dyDescent="0.25">
      <c r="A743" s="17" t="s">
        <v>56</v>
      </c>
      <c r="B743" s="17" t="s">
        <v>251</v>
      </c>
      <c r="C743" s="17" t="s">
        <v>3</v>
      </c>
      <c r="D743" s="17" t="s">
        <v>977</v>
      </c>
    </row>
    <row r="744" spans="1:4" x14ac:dyDescent="0.25">
      <c r="A744" s="17" t="s">
        <v>56</v>
      </c>
      <c r="B744" s="17" t="s">
        <v>251</v>
      </c>
      <c r="C744" s="17" t="s">
        <v>4</v>
      </c>
      <c r="D744" s="17" t="s">
        <v>978</v>
      </c>
    </row>
    <row r="745" spans="1:4" x14ac:dyDescent="0.25">
      <c r="A745" s="17" t="s">
        <v>56</v>
      </c>
      <c r="B745" s="17" t="s">
        <v>251</v>
      </c>
      <c r="C745" s="17" t="s">
        <v>5</v>
      </c>
      <c r="D745" s="17" t="s">
        <v>979</v>
      </c>
    </row>
    <row r="746" spans="1:4" x14ac:dyDescent="0.25">
      <c r="A746" s="17" t="s">
        <v>56</v>
      </c>
      <c r="B746" s="17" t="s">
        <v>251</v>
      </c>
      <c r="C746" s="17" t="s">
        <v>6</v>
      </c>
      <c r="D746" s="17" t="s">
        <v>980</v>
      </c>
    </row>
    <row r="747" spans="1:4" x14ac:dyDescent="0.25">
      <c r="A747" s="17" t="s">
        <v>56</v>
      </c>
      <c r="B747" s="17" t="s">
        <v>251</v>
      </c>
      <c r="C747" s="17" t="s">
        <v>34</v>
      </c>
      <c r="D747" s="17" t="s">
        <v>981</v>
      </c>
    </row>
    <row r="748" spans="1:4" x14ac:dyDescent="0.25">
      <c r="A748" s="17" t="s">
        <v>56</v>
      </c>
      <c r="B748" s="17" t="s">
        <v>251</v>
      </c>
      <c r="C748" s="17" t="s">
        <v>35</v>
      </c>
      <c r="D748" s="17" t="s">
        <v>982</v>
      </c>
    </row>
    <row r="749" spans="1:4" x14ac:dyDescent="0.25">
      <c r="A749" s="18" t="s">
        <v>56</v>
      </c>
      <c r="B749" s="18" t="s">
        <v>261</v>
      </c>
      <c r="C749" s="18" t="s">
        <v>149</v>
      </c>
      <c r="D749" s="18" t="s">
        <v>983</v>
      </c>
    </row>
    <row r="750" spans="1:4" x14ac:dyDescent="0.25">
      <c r="A750" s="18" t="s">
        <v>56</v>
      </c>
      <c r="B750" s="18" t="s">
        <v>261</v>
      </c>
      <c r="C750" s="18" t="s">
        <v>0</v>
      </c>
      <c r="D750" s="18" t="s">
        <v>984</v>
      </c>
    </row>
    <row r="751" spans="1:4" x14ac:dyDescent="0.25">
      <c r="A751" s="18" t="s">
        <v>56</v>
      </c>
      <c r="B751" s="18" t="s">
        <v>261</v>
      </c>
      <c r="C751" s="18" t="s">
        <v>2</v>
      </c>
      <c r="D751" s="18" t="s">
        <v>985</v>
      </c>
    </row>
    <row r="752" spans="1:4" x14ac:dyDescent="0.25">
      <c r="A752" s="18" t="s">
        <v>56</v>
      </c>
      <c r="B752" s="18" t="s">
        <v>261</v>
      </c>
      <c r="C752" s="18" t="s">
        <v>3</v>
      </c>
      <c r="D752" s="18" t="s">
        <v>986</v>
      </c>
    </row>
    <row r="753" spans="1:4" x14ac:dyDescent="0.25">
      <c r="A753" s="18" t="s">
        <v>56</v>
      </c>
      <c r="B753" s="18" t="s">
        <v>261</v>
      </c>
      <c r="C753" s="18" t="s">
        <v>4</v>
      </c>
      <c r="D753" s="18" t="s">
        <v>987</v>
      </c>
    </row>
    <row r="754" spans="1:4" x14ac:dyDescent="0.25">
      <c r="A754" s="18" t="s">
        <v>56</v>
      </c>
      <c r="B754" s="18" t="s">
        <v>261</v>
      </c>
      <c r="C754" s="18" t="s">
        <v>5</v>
      </c>
      <c r="D754" s="18" t="s">
        <v>988</v>
      </c>
    </row>
    <row r="755" spans="1:4" x14ac:dyDescent="0.25">
      <c r="A755" s="18" t="s">
        <v>56</v>
      </c>
      <c r="B755" s="18" t="s">
        <v>261</v>
      </c>
      <c r="C755" s="18" t="s">
        <v>6</v>
      </c>
      <c r="D755" s="18" t="s">
        <v>989</v>
      </c>
    </row>
    <row r="756" spans="1:4" x14ac:dyDescent="0.25">
      <c r="A756" s="18" t="s">
        <v>56</v>
      </c>
      <c r="B756" s="18" t="s">
        <v>261</v>
      </c>
      <c r="C756" s="18" t="s">
        <v>34</v>
      </c>
      <c r="D756" s="18" t="s">
        <v>990</v>
      </c>
    </row>
    <row r="757" spans="1:4" x14ac:dyDescent="0.25">
      <c r="A757" s="18" t="s">
        <v>56</v>
      </c>
      <c r="B757" s="18" t="s">
        <v>261</v>
      </c>
      <c r="C757" s="18" t="s">
        <v>35</v>
      </c>
      <c r="D757" s="18" t="s">
        <v>991</v>
      </c>
    </row>
    <row r="758" spans="1:4" x14ac:dyDescent="0.25">
      <c r="A758" s="19" t="s">
        <v>56</v>
      </c>
      <c r="B758" s="19" t="s">
        <v>271</v>
      </c>
      <c r="C758" s="19" t="s">
        <v>149</v>
      </c>
      <c r="D758" s="19" t="s">
        <v>992</v>
      </c>
    </row>
    <row r="759" spans="1:4" x14ac:dyDescent="0.25">
      <c r="A759" s="19" t="s">
        <v>56</v>
      </c>
      <c r="B759" s="19" t="s">
        <v>271</v>
      </c>
      <c r="C759" s="19" t="s">
        <v>0</v>
      </c>
      <c r="D759" s="19" t="s">
        <v>993</v>
      </c>
    </row>
    <row r="760" spans="1:4" x14ac:dyDescent="0.25">
      <c r="A760" s="19" t="s">
        <v>56</v>
      </c>
      <c r="B760" s="19" t="s">
        <v>271</v>
      </c>
      <c r="C760" s="19" t="s">
        <v>2</v>
      </c>
      <c r="D760" s="19" t="s">
        <v>994</v>
      </c>
    </row>
    <row r="761" spans="1:4" x14ac:dyDescent="0.25">
      <c r="A761" s="19" t="s">
        <v>56</v>
      </c>
      <c r="B761" s="19" t="s">
        <v>271</v>
      </c>
      <c r="C761" s="19" t="s">
        <v>3</v>
      </c>
      <c r="D761" s="19" t="s">
        <v>995</v>
      </c>
    </row>
    <row r="762" spans="1:4" x14ac:dyDescent="0.25">
      <c r="A762" s="19" t="s">
        <v>56</v>
      </c>
      <c r="B762" s="19" t="s">
        <v>271</v>
      </c>
      <c r="C762" s="19" t="s">
        <v>4</v>
      </c>
      <c r="D762" s="19" t="s">
        <v>996</v>
      </c>
    </row>
    <row r="763" spans="1:4" x14ac:dyDescent="0.25">
      <c r="A763" s="19" t="s">
        <v>56</v>
      </c>
      <c r="B763" s="19" t="s">
        <v>271</v>
      </c>
      <c r="C763" s="19" t="s">
        <v>5</v>
      </c>
      <c r="D763" s="19" t="s">
        <v>997</v>
      </c>
    </row>
    <row r="764" spans="1:4" x14ac:dyDescent="0.25">
      <c r="A764" s="19" t="s">
        <v>56</v>
      </c>
      <c r="B764" s="19" t="s">
        <v>271</v>
      </c>
      <c r="C764" s="19" t="s">
        <v>6</v>
      </c>
      <c r="D764" s="19" t="s">
        <v>998</v>
      </c>
    </row>
    <row r="765" spans="1:4" x14ac:dyDescent="0.25">
      <c r="A765" s="19" t="s">
        <v>56</v>
      </c>
      <c r="B765" s="19" t="s">
        <v>271</v>
      </c>
      <c r="C765" s="19" t="s">
        <v>34</v>
      </c>
      <c r="D765" s="19" t="s">
        <v>999</v>
      </c>
    </row>
    <row r="766" spans="1:4" x14ac:dyDescent="0.25">
      <c r="A766" s="19" t="s">
        <v>56</v>
      </c>
      <c r="B766" s="19" t="s">
        <v>271</v>
      </c>
      <c r="C766" s="19" t="s">
        <v>35</v>
      </c>
      <c r="D766" s="19" t="s">
        <v>1000</v>
      </c>
    </row>
    <row r="767" spans="1:4" x14ac:dyDescent="0.25">
      <c r="A767" s="15" t="s">
        <v>46</v>
      </c>
      <c r="B767" s="15" t="s">
        <v>231</v>
      </c>
      <c r="C767" s="15" t="s">
        <v>149</v>
      </c>
      <c r="D767" s="15" t="s">
        <v>1001</v>
      </c>
    </row>
    <row r="768" spans="1:4" x14ac:dyDescent="0.25">
      <c r="A768" s="15" t="s">
        <v>46</v>
      </c>
      <c r="B768" s="15" t="s">
        <v>231</v>
      </c>
      <c r="C768" s="15" t="s">
        <v>0</v>
      </c>
      <c r="D768" s="15" t="s">
        <v>1002</v>
      </c>
    </row>
    <row r="769" spans="1:4" x14ac:dyDescent="0.25">
      <c r="A769" s="15" t="s">
        <v>46</v>
      </c>
      <c r="B769" s="15" t="s">
        <v>231</v>
      </c>
      <c r="C769" s="15" t="s">
        <v>2</v>
      </c>
      <c r="D769" s="15" t="s">
        <v>1003</v>
      </c>
    </row>
    <row r="770" spans="1:4" x14ac:dyDescent="0.25">
      <c r="A770" s="15" t="s">
        <v>46</v>
      </c>
      <c r="B770" s="15" t="s">
        <v>231</v>
      </c>
      <c r="C770" s="15" t="s">
        <v>3</v>
      </c>
      <c r="D770" s="15" t="s">
        <v>1004</v>
      </c>
    </row>
    <row r="771" spans="1:4" x14ac:dyDescent="0.25">
      <c r="A771" s="15" t="s">
        <v>46</v>
      </c>
      <c r="B771" s="15" t="s">
        <v>231</v>
      </c>
      <c r="C771" s="15" t="s">
        <v>4</v>
      </c>
      <c r="D771" s="15" t="s">
        <v>1005</v>
      </c>
    </row>
    <row r="772" spans="1:4" x14ac:dyDescent="0.25">
      <c r="A772" s="15" t="s">
        <v>46</v>
      </c>
      <c r="B772" s="15" t="s">
        <v>231</v>
      </c>
      <c r="C772" s="15" t="s">
        <v>5</v>
      </c>
      <c r="D772" s="15" t="s">
        <v>1006</v>
      </c>
    </row>
    <row r="773" spans="1:4" x14ac:dyDescent="0.25">
      <c r="A773" s="15" t="s">
        <v>46</v>
      </c>
      <c r="B773" s="15" t="s">
        <v>231</v>
      </c>
      <c r="C773" s="15" t="s">
        <v>6</v>
      </c>
      <c r="D773" s="15" t="s">
        <v>1007</v>
      </c>
    </row>
    <row r="774" spans="1:4" x14ac:dyDescent="0.25">
      <c r="A774" s="15" t="s">
        <v>46</v>
      </c>
      <c r="B774" s="15" t="s">
        <v>231</v>
      </c>
      <c r="C774" s="15" t="s">
        <v>34</v>
      </c>
      <c r="D774" s="15" t="s">
        <v>1008</v>
      </c>
    </row>
    <row r="775" spans="1:4" x14ac:dyDescent="0.25">
      <c r="A775" s="15" t="s">
        <v>46</v>
      </c>
      <c r="B775" s="15" t="s">
        <v>231</v>
      </c>
      <c r="C775" s="15" t="s">
        <v>35</v>
      </c>
      <c r="D775" s="15" t="s">
        <v>1009</v>
      </c>
    </row>
    <row r="776" spans="1:4" x14ac:dyDescent="0.25">
      <c r="A776" s="16" t="s">
        <v>46</v>
      </c>
      <c r="B776" s="16" t="s">
        <v>241</v>
      </c>
      <c r="C776" s="16" t="s">
        <v>149</v>
      </c>
      <c r="D776" s="16" t="s">
        <v>1010</v>
      </c>
    </row>
    <row r="777" spans="1:4" x14ac:dyDescent="0.25">
      <c r="A777" s="16" t="s">
        <v>46</v>
      </c>
      <c r="B777" s="16" t="s">
        <v>241</v>
      </c>
      <c r="C777" s="16" t="s">
        <v>0</v>
      </c>
      <c r="D777" s="16" t="s">
        <v>1011</v>
      </c>
    </row>
    <row r="778" spans="1:4" x14ac:dyDescent="0.25">
      <c r="A778" s="16" t="s">
        <v>46</v>
      </c>
      <c r="B778" s="16" t="s">
        <v>241</v>
      </c>
      <c r="C778" s="16" t="s">
        <v>2</v>
      </c>
      <c r="D778" s="16" t="s">
        <v>1012</v>
      </c>
    </row>
    <row r="779" spans="1:4" x14ac:dyDescent="0.25">
      <c r="A779" s="16" t="s">
        <v>46</v>
      </c>
      <c r="B779" s="16" t="s">
        <v>241</v>
      </c>
      <c r="C779" s="16" t="s">
        <v>3</v>
      </c>
      <c r="D779" s="16" t="s">
        <v>1013</v>
      </c>
    </row>
    <row r="780" spans="1:4" x14ac:dyDescent="0.25">
      <c r="A780" s="16" t="s">
        <v>46</v>
      </c>
      <c r="B780" s="16" t="s">
        <v>241</v>
      </c>
      <c r="C780" s="16" t="s">
        <v>4</v>
      </c>
      <c r="D780" s="16" t="s">
        <v>1014</v>
      </c>
    </row>
    <row r="781" spans="1:4" x14ac:dyDescent="0.25">
      <c r="A781" s="16" t="s">
        <v>46</v>
      </c>
      <c r="B781" s="16" t="s">
        <v>241</v>
      </c>
      <c r="C781" s="16" t="s">
        <v>5</v>
      </c>
      <c r="D781" s="16" t="s">
        <v>1015</v>
      </c>
    </row>
    <row r="782" spans="1:4" x14ac:dyDescent="0.25">
      <c r="A782" s="16" t="s">
        <v>46</v>
      </c>
      <c r="B782" s="16" t="s">
        <v>241</v>
      </c>
      <c r="C782" s="16" t="s">
        <v>6</v>
      </c>
      <c r="D782" s="16" t="s">
        <v>1016</v>
      </c>
    </row>
    <row r="783" spans="1:4" x14ac:dyDescent="0.25">
      <c r="A783" s="16" t="s">
        <v>46</v>
      </c>
      <c r="B783" s="16" t="s">
        <v>241</v>
      </c>
      <c r="C783" s="16" t="s">
        <v>34</v>
      </c>
      <c r="D783" s="16" t="s">
        <v>1017</v>
      </c>
    </row>
    <row r="784" spans="1:4" x14ac:dyDescent="0.25">
      <c r="A784" s="16" t="s">
        <v>46</v>
      </c>
      <c r="B784" s="16" t="s">
        <v>241</v>
      </c>
      <c r="C784" s="16" t="s">
        <v>35</v>
      </c>
      <c r="D784" s="16" t="s">
        <v>1018</v>
      </c>
    </row>
    <row r="785" spans="1:4" x14ac:dyDescent="0.25">
      <c r="A785" s="17" t="s">
        <v>46</v>
      </c>
      <c r="B785" s="17" t="s">
        <v>251</v>
      </c>
      <c r="C785" s="17" t="s">
        <v>149</v>
      </c>
      <c r="D785" s="17" t="s">
        <v>1019</v>
      </c>
    </row>
    <row r="786" spans="1:4" x14ac:dyDescent="0.25">
      <c r="A786" s="17" t="s">
        <v>46</v>
      </c>
      <c r="B786" s="17" t="s">
        <v>251</v>
      </c>
      <c r="C786" s="17" t="s">
        <v>0</v>
      </c>
      <c r="D786" s="17" t="s">
        <v>1020</v>
      </c>
    </row>
    <row r="787" spans="1:4" x14ac:dyDescent="0.25">
      <c r="A787" s="17" t="s">
        <v>46</v>
      </c>
      <c r="B787" s="17" t="s">
        <v>251</v>
      </c>
      <c r="C787" s="17" t="s">
        <v>2</v>
      </c>
      <c r="D787" s="17" t="s">
        <v>1021</v>
      </c>
    </row>
    <row r="788" spans="1:4" x14ac:dyDescent="0.25">
      <c r="A788" s="17" t="s">
        <v>46</v>
      </c>
      <c r="B788" s="17" t="s">
        <v>251</v>
      </c>
      <c r="C788" s="17" t="s">
        <v>3</v>
      </c>
      <c r="D788" s="17" t="s">
        <v>1022</v>
      </c>
    </row>
    <row r="789" spans="1:4" x14ac:dyDescent="0.25">
      <c r="A789" s="17" t="s">
        <v>46</v>
      </c>
      <c r="B789" s="17" t="s">
        <v>251</v>
      </c>
      <c r="C789" s="17" t="s">
        <v>4</v>
      </c>
      <c r="D789" s="17" t="s">
        <v>1023</v>
      </c>
    </row>
    <row r="790" spans="1:4" x14ac:dyDescent="0.25">
      <c r="A790" s="17" t="s">
        <v>46</v>
      </c>
      <c r="B790" s="17" t="s">
        <v>251</v>
      </c>
      <c r="C790" s="17" t="s">
        <v>5</v>
      </c>
      <c r="D790" s="17" t="s">
        <v>1024</v>
      </c>
    </row>
    <row r="791" spans="1:4" x14ac:dyDescent="0.25">
      <c r="A791" s="17" t="s">
        <v>46</v>
      </c>
      <c r="B791" s="17" t="s">
        <v>251</v>
      </c>
      <c r="C791" s="17" t="s">
        <v>6</v>
      </c>
      <c r="D791" s="17" t="s">
        <v>1025</v>
      </c>
    </row>
    <row r="792" spans="1:4" x14ac:dyDescent="0.25">
      <c r="A792" s="17" t="s">
        <v>46</v>
      </c>
      <c r="B792" s="17" t="s">
        <v>251</v>
      </c>
      <c r="C792" s="17" t="s">
        <v>34</v>
      </c>
      <c r="D792" s="17" t="s">
        <v>1026</v>
      </c>
    </row>
    <row r="793" spans="1:4" x14ac:dyDescent="0.25">
      <c r="A793" s="17" t="s">
        <v>46</v>
      </c>
      <c r="B793" s="17" t="s">
        <v>251</v>
      </c>
      <c r="C793" s="17" t="s">
        <v>35</v>
      </c>
      <c r="D793" s="17" t="s">
        <v>1027</v>
      </c>
    </row>
    <row r="794" spans="1:4" x14ac:dyDescent="0.25">
      <c r="A794" s="18" t="s">
        <v>46</v>
      </c>
      <c r="B794" s="18" t="s">
        <v>261</v>
      </c>
      <c r="C794" s="18" t="s">
        <v>149</v>
      </c>
      <c r="D794" s="18" t="s">
        <v>1028</v>
      </c>
    </row>
    <row r="795" spans="1:4" x14ac:dyDescent="0.25">
      <c r="A795" s="18" t="s">
        <v>46</v>
      </c>
      <c r="B795" s="18" t="s">
        <v>261</v>
      </c>
      <c r="C795" s="18" t="s">
        <v>0</v>
      </c>
      <c r="D795" s="18" t="s">
        <v>1029</v>
      </c>
    </row>
    <row r="796" spans="1:4" x14ac:dyDescent="0.25">
      <c r="A796" s="18" t="s">
        <v>46</v>
      </c>
      <c r="B796" s="18" t="s">
        <v>261</v>
      </c>
      <c r="C796" s="18" t="s">
        <v>2</v>
      </c>
      <c r="D796" s="18" t="s">
        <v>1030</v>
      </c>
    </row>
    <row r="797" spans="1:4" x14ac:dyDescent="0.25">
      <c r="A797" s="18" t="s">
        <v>46</v>
      </c>
      <c r="B797" s="18" t="s">
        <v>261</v>
      </c>
      <c r="C797" s="18" t="s">
        <v>3</v>
      </c>
      <c r="D797" s="18" t="s">
        <v>1031</v>
      </c>
    </row>
    <row r="798" spans="1:4" x14ac:dyDescent="0.25">
      <c r="A798" s="18" t="s">
        <v>46</v>
      </c>
      <c r="B798" s="18" t="s">
        <v>261</v>
      </c>
      <c r="C798" s="18" t="s">
        <v>4</v>
      </c>
      <c r="D798" s="18" t="s">
        <v>1032</v>
      </c>
    </row>
    <row r="799" spans="1:4" x14ac:dyDescent="0.25">
      <c r="A799" s="18" t="s">
        <v>46</v>
      </c>
      <c r="B799" s="18" t="s">
        <v>261</v>
      </c>
      <c r="C799" s="18" t="s">
        <v>5</v>
      </c>
      <c r="D799" s="18" t="s">
        <v>1033</v>
      </c>
    </row>
    <row r="800" spans="1:4" x14ac:dyDescent="0.25">
      <c r="A800" s="18" t="s">
        <v>46</v>
      </c>
      <c r="B800" s="18" t="s">
        <v>261</v>
      </c>
      <c r="C800" s="18" t="s">
        <v>6</v>
      </c>
      <c r="D800" s="18" t="s">
        <v>1034</v>
      </c>
    </row>
    <row r="801" spans="1:4" x14ac:dyDescent="0.25">
      <c r="A801" s="18" t="s">
        <v>46</v>
      </c>
      <c r="B801" s="18" t="s">
        <v>261</v>
      </c>
      <c r="C801" s="18" t="s">
        <v>34</v>
      </c>
      <c r="D801" s="18" t="s">
        <v>1035</v>
      </c>
    </row>
    <row r="802" spans="1:4" x14ac:dyDescent="0.25">
      <c r="A802" s="18" t="s">
        <v>46</v>
      </c>
      <c r="B802" s="18" t="s">
        <v>261</v>
      </c>
      <c r="C802" s="18" t="s">
        <v>35</v>
      </c>
      <c r="D802" s="18" t="s">
        <v>1036</v>
      </c>
    </row>
    <row r="803" spans="1:4" x14ac:dyDescent="0.25">
      <c r="A803" s="19" t="s">
        <v>46</v>
      </c>
      <c r="B803" s="19" t="s">
        <v>271</v>
      </c>
      <c r="C803" s="19" t="s">
        <v>149</v>
      </c>
      <c r="D803" s="19" t="s">
        <v>1037</v>
      </c>
    </row>
    <row r="804" spans="1:4" x14ac:dyDescent="0.25">
      <c r="A804" s="19" t="s">
        <v>46</v>
      </c>
      <c r="B804" s="19" t="s">
        <v>271</v>
      </c>
      <c r="C804" s="19" t="s">
        <v>0</v>
      </c>
      <c r="D804" s="19" t="s">
        <v>1038</v>
      </c>
    </row>
    <row r="805" spans="1:4" x14ac:dyDescent="0.25">
      <c r="A805" s="19" t="s">
        <v>46</v>
      </c>
      <c r="B805" s="19" t="s">
        <v>271</v>
      </c>
      <c r="C805" s="19" t="s">
        <v>2</v>
      </c>
      <c r="D805" s="19" t="s">
        <v>1039</v>
      </c>
    </row>
    <row r="806" spans="1:4" x14ac:dyDescent="0.25">
      <c r="A806" s="19" t="s">
        <v>46</v>
      </c>
      <c r="B806" s="19" t="s">
        <v>271</v>
      </c>
      <c r="C806" s="19" t="s">
        <v>3</v>
      </c>
      <c r="D806" s="19" t="s">
        <v>1040</v>
      </c>
    </row>
    <row r="807" spans="1:4" x14ac:dyDescent="0.25">
      <c r="A807" s="19" t="s">
        <v>46</v>
      </c>
      <c r="B807" s="19" t="s">
        <v>271</v>
      </c>
      <c r="C807" s="19" t="s">
        <v>4</v>
      </c>
      <c r="D807" s="19" t="s">
        <v>1041</v>
      </c>
    </row>
    <row r="808" spans="1:4" x14ac:dyDescent="0.25">
      <c r="A808" s="19" t="s">
        <v>46</v>
      </c>
      <c r="B808" s="19" t="s">
        <v>271</v>
      </c>
      <c r="C808" s="19" t="s">
        <v>5</v>
      </c>
      <c r="D808" s="19" t="s">
        <v>1042</v>
      </c>
    </row>
    <row r="809" spans="1:4" x14ac:dyDescent="0.25">
      <c r="A809" s="19" t="s">
        <v>46</v>
      </c>
      <c r="B809" s="19" t="s">
        <v>271</v>
      </c>
      <c r="C809" s="19" t="s">
        <v>6</v>
      </c>
      <c r="D809" s="19" t="s">
        <v>1043</v>
      </c>
    </row>
    <row r="810" spans="1:4" x14ac:dyDescent="0.25">
      <c r="A810" s="19" t="s">
        <v>46</v>
      </c>
      <c r="B810" s="19" t="s">
        <v>271</v>
      </c>
      <c r="C810" s="19" t="s">
        <v>34</v>
      </c>
      <c r="D810" s="19" t="s">
        <v>1044</v>
      </c>
    </row>
    <row r="811" spans="1:4" x14ac:dyDescent="0.25">
      <c r="A811" s="19" t="s">
        <v>46</v>
      </c>
      <c r="B811" s="19" t="s">
        <v>271</v>
      </c>
      <c r="C811" s="19" t="s">
        <v>35</v>
      </c>
      <c r="D811" s="19" t="s">
        <v>1045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22EB4-95C7-46C4-9AB4-7A97A84D3831}">
  <dimension ref="A1:B18"/>
  <sheetViews>
    <sheetView tabSelected="1" workbookViewId="0">
      <selection activeCell="U11" sqref="U11"/>
    </sheetView>
  </sheetViews>
  <sheetFormatPr defaultRowHeight="15" x14ac:dyDescent="0.25"/>
  <cols>
    <col min="1" max="1" width="10.140625" bestFit="1" customWidth="1"/>
    <col min="2" max="2" width="13.7109375" bestFit="1" customWidth="1"/>
  </cols>
  <sheetData>
    <row r="1" spans="1:2" x14ac:dyDescent="0.25">
      <c r="A1" s="3" t="s">
        <v>25</v>
      </c>
      <c r="B1" s="3" t="s">
        <v>26</v>
      </c>
    </row>
    <row r="2" spans="1:2" x14ac:dyDescent="0.25">
      <c r="A2" s="4" t="s">
        <v>27</v>
      </c>
      <c r="B2" s="4">
        <v>3</v>
      </c>
    </row>
    <row r="3" spans="1:2" x14ac:dyDescent="0.25">
      <c r="A3" s="4" t="s">
        <v>0</v>
      </c>
      <c r="B3" s="5">
        <v>7</v>
      </c>
    </row>
    <row r="4" spans="1:2" x14ac:dyDescent="0.25">
      <c r="A4" s="4" t="s">
        <v>1</v>
      </c>
      <c r="B4" s="5">
        <v>14</v>
      </c>
    </row>
    <row r="5" spans="1:2" x14ac:dyDescent="0.25">
      <c r="A5" s="4" t="s">
        <v>2</v>
      </c>
      <c r="B5" s="5">
        <v>30</v>
      </c>
    </row>
    <row r="6" spans="1:2" x14ac:dyDescent="0.25">
      <c r="A6" s="4" t="s">
        <v>3</v>
      </c>
      <c r="B6" s="5">
        <v>60</v>
      </c>
    </row>
    <row r="7" spans="1:2" x14ac:dyDescent="0.25">
      <c r="A7" s="4" t="s">
        <v>4</v>
      </c>
      <c r="B7" s="5">
        <v>91</v>
      </c>
    </row>
    <row r="8" spans="1:2" x14ac:dyDescent="0.25">
      <c r="A8" s="4" t="s">
        <v>28</v>
      </c>
      <c r="B8" s="5">
        <v>120</v>
      </c>
    </row>
    <row r="9" spans="1:2" x14ac:dyDescent="0.25">
      <c r="A9" s="4" t="s">
        <v>29</v>
      </c>
      <c r="B9" s="5">
        <v>150</v>
      </c>
    </row>
    <row r="10" spans="1:2" x14ac:dyDescent="0.25">
      <c r="A10" s="4" t="s">
        <v>5</v>
      </c>
      <c r="B10" s="5">
        <v>182</v>
      </c>
    </row>
    <row r="11" spans="1:2" x14ac:dyDescent="0.25">
      <c r="A11" s="4" t="s">
        <v>30</v>
      </c>
      <c r="B11" s="5">
        <v>210</v>
      </c>
    </row>
    <row r="12" spans="1:2" x14ac:dyDescent="0.25">
      <c r="A12" s="4" t="s">
        <v>31</v>
      </c>
      <c r="B12" s="5">
        <v>240</v>
      </c>
    </row>
    <row r="13" spans="1:2" x14ac:dyDescent="0.25">
      <c r="A13" s="4" t="s">
        <v>6</v>
      </c>
      <c r="B13" s="5">
        <v>274</v>
      </c>
    </row>
    <row r="14" spans="1:2" x14ac:dyDescent="0.25">
      <c r="A14" s="4" t="s">
        <v>32</v>
      </c>
      <c r="B14" s="5">
        <v>300</v>
      </c>
    </row>
    <row r="15" spans="1:2" x14ac:dyDescent="0.25">
      <c r="A15" s="4" t="s">
        <v>33</v>
      </c>
      <c r="B15" s="5">
        <v>330</v>
      </c>
    </row>
    <row r="16" spans="1:2" x14ac:dyDescent="0.25">
      <c r="A16" s="4" t="s">
        <v>34</v>
      </c>
      <c r="B16" s="5">
        <v>365</v>
      </c>
    </row>
    <row r="17" spans="1:2" x14ac:dyDescent="0.25">
      <c r="A17" s="4" t="s">
        <v>35</v>
      </c>
      <c r="B17" s="5">
        <v>730</v>
      </c>
    </row>
    <row r="18" spans="1:2" x14ac:dyDescent="0.25">
      <c r="A18" s="4" t="s">
        <v>36</v>
      </c>
      <c r="B18" s="5">
        <v>1095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EEF2A-302C-4F36-806F-F8DC833F7241}">
  <dimension ref="A1:B11"/>
  <sheetViews>
    <sheetView workbookViewId="0">
      <selection activeCell="L9" sqref="L9"/>
    </sheetView>
  </sheetViews>
  <sheetFormatPr defaultRowHeight="15" x14ac:dyDescent="0.25"/>
  <cols>
    <col min="1" max="1" width="10.140625" bestFit="1" customWidth="1"/>
    <col min="2" max="2" width="13.7109375" bestFit="1" customWidth="1"/>
  </cols>
  <sheetData>
    <row r="1" spans="1:2" x14ac:dyDescent="0.25">
      <c r="A1" s="3" t="s">
        <v>25</v>
      </c>
      <c r="B1" s="3" t="s">
        <v>26</v>
      </c>
    </row>
    <row r="2" spans="1:2" x14ac:dyDescent="0.25">
      <c r="A2" s="4" t="s">
        <v>0</v>
      </c>
      <c r="B2" s="5">
        <v>5</v>
      </c>
    </row>
    <row r="3" spans="1:2" x14ac:dyDescent="0.25">
      <c r="A3" s="4" t="s">
        <v>1</v>
      </c>
      <c r="B3" s="5">
        <v>10</v>
      </c>
    </row>
    <row r="4" spans="1:2" x14ac:dyDescent="0.25">
      <c r="A4" s="4" t="s">
        <v>2</v>
      </c>
      <c r="B4" s="5">
        <v>22</v>
      </c>
    </row>
    <row r="5" spans="1:2" x14ac:dyDescent="0.25">
      <c r="A5" s="4" t="s">
        <v>3</v>
      </c>
      <c r="B5" s="5">
        <v>44</v>
      </c>
    </row>
    <row r="6" spans="1:2" x14ac:dyDescent="0.25">
      <c r="A6" s="4" t="s">
        <v>4</v>
      </c>
      <c r="B6" s="5">
        <v>66</v>
      </c>
    </row>
    <row r="7" spans="1:2" x14ac:dyDescent="0.25">
      <c r="A7" s="4" t="s">
        <v>5</v>
      </c>
      <c r="B7" s="5">
        <v>126</v>
      </c>
    </row>
    <row r="8" spans="1:2" x14ac:dyDescent="0.25">
      <c r="A8" s="4" t="s">
        <v>6</v>
      </c>
      <c r="B8" s="5">
        <v>190</v>
      </c>
    </row>
    <row r="9" spans="1:2" x14ac:dyDescent="0.25">
      <c r="A9" s="4" t="s">
        <v>34</v>
      </c>
      <c r="B9" s="5">
        <v>252</v>
      </c>
    </row>
    <row r="10" spans="1:2" x14ac:dyDescent="0.25">
      <c r="A10" s="4" t="s">
        <v>35</v>
      </c>
      <c r="B10" s="5">
        <v>504</v>
      </c>
    </row>
    <row r="11" spans="1:2" x14ac:dyDescent="0.25">
      <c r="A11" s="4" t="s">
        <v>36</v>
      </c>
      <c r="B11" s="5">
        <v>756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E2B57-DC2E-4A55-8EC6-551313BEEA63}">
  <dimension ref="A1:B20"/>
  <sheetViews>
    <sheetView workbookViewId="0">
      <selection activeCell="B2" sqref="B2"/>
    </sheetView>
  </sheetViews>
  <sheetFormatPr defaultRowHeight="15" x14ac:dyDescent="0.25"/>
  <cols>
    <col min="1" max="1" width="8.5703125" bestFit="1" customWidth="1"/>
    <col min="2" max="2" width="13.85546875" bestFit="1" customWidth="1"/>
  </cols>
  <sheetData>
    <row r="1" spans="1:2" x14ac:dyDescent="0.25">
      <c r="A1" s="3" t="s">
        <v>37</v>
      </c>
      <c r="B1" s="3" t="s">
        <v>1347</v>
      </c>
    </row>
    <row r="2" spans="1:2" x14ac:dyDescent="0.25">
      <c r="A2" s="8" t="s">
        <v>39</v>
      </c>
      <c r="B2" s="8">
        <v>365</v>
      </c>
    </row>
    <row r="3" spans="1:2" x14ac:dyDescent="0.25">
      <c r="A3" s="8" t="s">
        <v>40</v>
      </c>
      <c r="B3" s="8">
        <v>365</v>
      </c>
    </row>
    <row r="4" spans="1:2" x14ac:dyDescent="0.25">
      <c r="A4" s="8" t="s">
        <v>41</v>
      </c>
      <c r="B4" s="8">
        <v>365</v>
      </c>
    </row>
    <row r="5" spans="1:2" x14ac:dyDescent="0.25">
      <c r="A5" s="8" t="s">
        <v>42</v>
      </c>
      <c r="B5" s="8">
        <v>360</v>
      </c>
    </row>
    <row r="6" spans="1:2" x14ac:dyDescent="0.25">
      <c r="A6" s="8" t="s">
        <v>43</v>
      </c>
      <c r="B6" s="8">
        <v>360</v>
      </c>
    </row>
    <row r="7" spans="1:2" x14ac:dyDescent="0.25">
      <c r="A7" s="8" t="s">
        <v>44</v>
      </c>
      <c r="B7" s="8">
        <v>365</v>
      </c>
    </row>
    <row r="8" spans="1:2" x14ac:dyDescent="0.25">
      <c r="A8" s="8" t="s">
        <v>45</v>
      </c>
      <c r="B8" s="8">
        <v>365</v>
      </c>
    </row>
    <row r="9" spans="1:2" x14ac:dyDescent="0.25">
      <c r="A9" s="8" t="s">
        <v>46</v>
      </c>
      <c r="B9" s="8">
        <v>365</v>
      </c>
    </row>
    <row r="10" spans="1:2" x14ac:dyDescent="0.25">
      <c r="A10" s="8" t="s">
        <v>47</v>
      </c>
      <c r="B10" s="8">
        <v>360</v>
      </c>
    </row>
    <row r="11" spans="1:2" x14ac:dyDescent="0.25">
      <c r="A11" s="8" t="s">
        <v>48</v>
      </c>
      <c r="B11" s="8">
        <v>360</v>
      </c>
    </row>
    <row r="12" spans="1:2" x14ac:dyDescent="0.25">
      <c r="A12" s="8" t="s">
        <v>49</v>
      </c>
      <c r="B12" s="8">
        <v>365</v>
      </c>
    </row>
    <row r="13" spans="1:2" x14ac:dyDescent="0.25">
      <c r="A13" s="8" t="s">
        <v>50</v>
      </c>
      <c r="B13" s="8">
        <v>365</v>
      </c>
    </row>
    <row r="14" spans="1:2" x14ac:dyDescent="0.25">
      <c r="A14" s="8" t="s">
        <v>51</v>
      </c>
      <c r="B14" s="8">
        <v>365</v>
      </c>
    </row>
    <row r="15" spans="1:2" x14ac:dyDescent="0.25">
      <c r="A15" s="8" t="s">
        <v>52</v>
      </c>
      <c r="B15" s="8">
        <v>360</v>
      </c>
    </row>
    <row r="16" spans="1:2" x14ac:dyDescent="0.25">
      <c r="A16" s="8" t="s">
        <v>53</v>
      </c>
      <c r="B16" s="8">
        <v>365</v>
      </c>
    </row>
    <row r="17" spans="1:2" x14ac:dyDescent="0.25">
      <c r="A17" s="8" t="s">
        <v>54</v>
      </c>
      <c r="B17" s="8">
        <v>360</v>
      </c>
    </row>
    <row r="18" spans="1:2" x14ac:dyDescent="0.25">
      <c r="A18" s="8" t="s">
        <v>55</v>
      </c>
      <c r="B18" s="8">
        <v>365</v>
      </c>
    </row>
    <row r="19" spans="1:2" x14ac:dyDescent="0.25">
      <c r="A19" s="8" t="s">
        <v>56</v>
      </c>
      <c r="B19" s="8">
        <v>365</v>
      </c>
    </row>
    <row r="20" spans="1:2" x14ac:dyDescent="0.25">
      <c r="A20" s="7"/>
      <c r="B20" s="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CA80C-7954-4449-A85A-71A22B6C1D55}">
  <dimension ref="A1:B19"/>
  <sheetViews>
    <sheetView workbookViewId="0">
      <selection activeCell="I26" sqref="I26"/>
    </sheetView>
  </sheetViews>
  <sheetFormatPr defaultRowHeight="15" x14ac:dyDescent="0.25"/>
  <cols>
    <col min="1" max="1" width="9.42578125" bestFit="1" customWidth="1"/>
  </cols>
  <sheetData>
    <row r="1" spans="1:2" x14ac:dyDescent="0.25">
      <c r="A1" s="3" t="s">
        <v>57</v>
      </c>
      <c r="B1" s="3" t="s">
        <v>58</v>
      </c>
    </row>
    <row r="2" spans="1:2" x14ac:dyDescent="0.25">
      <c r="A2" s="8" t="s">
        <v>39</v>
      </c>
      <c r="B2" s="8">
        <v>2</v>
      </c>
    </row>
    <row r="3" spans="1:2" x14ac:dyDescent="0.25">
      <c r="A3" s="8" t="s">
        <v>40</v>
      </c>
      <c r="B3" s="8">
        <v>2</v>
      </c>
    </row>
    <row r="4" spans="1:2" x14ac:dyDescent="0.25">
      <c r="A4" s="8" t="s">
        <v>41</v>
      </c>
      <c r="B4" s="8">
        <v>2</v>
      </c>
    </row>
    <row r="5" spans="1:2" x14ac:dyDescent="0.25">
      <c r="A5" s="8" t="s">
        <v>42</v>
      </c>
      <c r="B5" s="8">
        <v>2</v>
      </c>
    </row>
    <row r="6" spans="1:2" x14ac:dyDescent="0.25">
      <c r="A6" s="8" t="s">
        <v>43</v>
      </c>
      <c r="B6" s="8">
        <v>1</v>
      </c>
    </row>
    <row r="7" spans="1:2" x14ac:dyDescent="0.25">
      <c r="A7" s="8" t="s">
        <v>44</v>
      </c>
      <c r="B7" s="8">
        <v>2</v>
      </c>
    </row>
    <row r="8" spans="1:2" x14ac:dyDescent="0.25">
      <c r="A8" s="8" t="s">
        <v>45</v>
      </c>
      <c r="B8" s="8">
        <v>2</v>
      </c>
    </row>
    <row r="9" spans="1:2" x14ac:dyDescent="0.25">
      <c r="A9" s="8" t="s">
        <v>46</v>
      </c>
      <c r="B9" s="8">
        <v>2</v>
      </c>
    </row>
    <row r="10" spans="1:2" x14ac:dyDescent="0.25">
      <c r="A10" s="8" t="s">
        <v>47</v>
      </c>
      <c r="B10" s="8">
        <v>2</v>
      </c>
    </row>
    <row r="11" spans="1:2" x14ac:dyDescent="0.25">
      <c r="A11" s="8" t="s">
        <v>48</v>
      </c>
      <c r="B11" s="8">
        <v>2</v>
      </c>
    </row>
    <row r="12" spans="1:2" x14ac:dyDescent="0.25">
      <c r="A12" s="8" t="s">
        <v>49</v>
      </c>
      <c r="B12" s="8">
        <v>2</v>
      </c>
    </row>
    <row r="13" spans="1:2" x14ac:dyDescent="0.25">
      <c r="A13" s="8" t="s">
        <v>50</v>
      </c>
      <c r="B13" s="8">
        <v>2</v>
      </c>
    </row>
    <row r="14" spans="1:2" x14ac:dyDescent="0.25">
      <c r="A14" s="8" t="s">
        <v>51</v>
      </c>
      <c r="B14" s="8">
        <v>2</v>
      </c>
    </row>
    <row r="15" spans="1:2" x14ac:dyDescent="0.25">
      <c r="A15" s="8" t="s">
        <v>52</v>
      </c>
      <c r="B15" s="8">
        <v>2</v>
      </c>
    </row>
    <row r="16" spans="1:2" x14ac:dyDescent="0.25">
      <c r="A16" s="8" t="s">
        <v>53</v>
      </c>
      <c r="B16" s="8">
        <v>1</v>
      </c>
    </row>
    <row r="17" spans="1:2" x14ac:dyDescent="0.25">
      <c r="A17" s="8" t="s">
        <v>54</v>
      </c>
      <c r="B17" s="8">
        <v>2</v>
      </c>
    </row>
    <row r="18" spans="1:2" x14ac:dyDescent="0.25">
      <c r="A18" s="8" t="s">
        <v>55</v>
      </c>
      <c r="B18" s="8">
        <v>2</v>
      </c>
    </row>
    <row r="19" spans="1:2" x14ac:dyDescent="0.25">
      <c r="A19" s="8" t="s">
        <v>56</v>
      </c>
      <c r="B19" s="8">
        <v>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595E8-B6FC-4A5E-A794-A5712434D56C}">
  <dimension ref="A1:B20"/>
  <sheetViews>
    <sheetView workbookViewId="0">
      <selection activeCell="B2" sqref="B2"/>
    </sheetView>
  </sheetViews>
  <sheetFormatPr defaultRowHeight="15" x14ac:dyDescent="0.25"/>
  <cols>
    <col min="2" max="2" width="13.85546875" bestFit="1" customWidth="1"/>
  </cols>
  <sheetData>
    <row r="1" spans="1:2" x14ac:dyDescent="0.25">
      <c r="A1" s="3" t="s">
        <v>59</v>
      </c>
      <c r="B1" s="3" t="s">
        <v>1347</v>
      </c>
    </row>
    <row r="2" spans="1:2" x14ac:dyDescent="0.25">
      <c r="A2" s="8" t="s">
        <v>60</v>
      </c>
      <c r="B2" s="8">
        <v>365</v>
      </c>
    </row>
    <row r="3" spans="1:2" x14ac:dyDescent="0.25">
      <c r="A3" s="8" t="s">
        <v>8</v>
      </c>
      <c r="B3" s="8">
        <v>365</v>
      </c>
    </row>
    <row r="4" spans="1:2" x14ac:dyDescent="0.25">
      <c r="A4" s="8" t="s">
        <v>10</v>
      </c>
      <c r="B4" s="8">
        <v>365</v>
      </c>
    </row>
    <row r="5" spans="1:2" x14ac:dyDescent="0.25">
      <c r="A5" s="8" t="s">
        <v>12</v>
      </c>
      <c r="B5" s="8">
        <v>360</v>
      </c>
    </row>
    <row r="6" spans="1:2" x14ac:dyDescent="0.25">
      <c r="A6" s="8" t="s">
        <v>13</v>
      </c>
      <c r="B6" s="8">
        <v>360</v>
      </c>
    </row>
    <row r="7" spans="1:2" x14ac:dyDescent="0.25">
      <c r="A7" s="8" t="s">
        <v>9</v>
      </c>
      <c r="B7" s="8">
        <v>365</v>
      </c>
    </row>
    <row r="8" spans="1:2" x14ac:dyDescent="0.25">
      <c r="A8" s="8" t="s">
        <v>61</v>
      </c>
      <c r="B8" s="8">
        <v>365</v>
      </c>
    </row>
    <row r="9" spans="1:2" x14ac:dyDescent="0.25">
      <c r="A9" s="8" t="s">
        <v>15</v>
      </c>
      <c r="B9" s="8">
        <v>365</v>
      </c>
    </row>
    <row r="10" spans="1:2" x14ac:dyDescent="0.25">
      <c r="A10" s="8" t="s">
        <v>11</v>
      </c>
      <c r="B10" s="8">
        <v>360</v>
      </c>
    </row>
    <row r="11" spans="1:2" x14ac:dyDescent="0.25">
      <c r="A11" s="8" t="s">
        <v>17</v>
      </c>
      <c r="B11" s="8">
        <v>360</v>
      </c>
    </row>
    <row r="12" spans="1:2" x14ac:dyDescent="0.25">
      <c r="A12" s="8" t="s">
        <v>20</v>
      </c>
      <c r="B12" s="8">
        <v>365</v>
      </c>
    </row>
    <row r="13" spans="1:2" x14ac:dyDescent="0.25">
      <c r="A13" s="8" t="s">
        <v>21</v>
      </c>
      <c r="B13" s="8">
        <v>365</v>
      </c>
    </row>
    <row r="14" spans="1:2" x14ac:dyDescent="0.25">
      <c r="A14" s="8" t="s">
        <v>19</v>
      </c>
      <c r="B14" s="8">
        <v>365</v>
      </c>
    </row>
    <row r="15" spans="1:2" x14ac:dyDescent="0.25">
      <c r="A15" s="8" t="s">
        <v>18</v>
      </c>
      <c r="B15" s="8">
        <v>360</v>
      </c>
    </row>
    <row r="16" spans="1:2" x14ac:dyDescent="0.25">
      <c r="A16" s="8" t="s">
        <v>23</v>
      </c>
      <c r="B16" s="8">
        <v>365</v>
      </c>
    </row>
    <row r="17" spans="1:2" x14ac:dyDescent="0.25">
      <c r="A17" s="8" t="s">
        <v>22</v>
      </c>
      <c r="B17" s="8">
        <v>360</v>
      </c>
    </row>
    <row r="18" spans="1:2" x14ac:dyDescent="0.25">
      <c r="A18" s="8" t="s">
        <v>7</v>
      </c>
      <c r="B18" s="8">
        <v>365</v>
      </c>
    </row>
    <row r="19" spans="1:2" x14ac:dyDescent="0.25">
      <c r="A19" s="8" t="s">
        <v>16</v>
      </c>
      <c r="B19" s="8">
        <v>360</v>
      </c>
    </row>
    <row r="20" spans="1:2" x14ac:dyDescent="0.25">
      <c r="A20" s="8" t="s">
        <v>14</v>
      </c>
      <c r="B20" s="8">
        <v>365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7A4D0-D597-4286-A1E0-570C9BCBC704}">
  <dimension ref="A1:C19"/>
  <sheetViews>
    <sheetView workbookViewId="0">
      <selection activeCell="D8" sqref="D8"/>
    </sheetView>
  </sheetViews>
  <sheetFormatPr defaultRowHeight="15" x14ac:dyDescent="0.25"/>
  <cols>
    <col min="1" max="1" width="9.42578125" style="1" bestFit="1" customWidth="1"/>
    <col min="2" max="2" width="16.140625" style="1" bestFit="1" customWidth="1"/>
    <col min="3" max="3" width="10.7109375" style="1" bestFit="1" customWidth="1"/>
  </cols>
  <sheetData>
    <row r="1" spans="1:3" x14ac:dyDescent="0.25">
      <c r="A1" s="3" t="s">
        <v>57</v>
      </c>
      <c r="B1" s="3" t="s">
        <v>1348</v>
      </c>
      <c r="C1" s="3" t="s">
        <v>62</v>
      </c>
    </row>
    <row r="2" spans="1:3" x14ac:dyDescent="0.25">
      <c r="A2" s="8" t="s">
        <v>39</v>
      </c>
      <c r="B2" s="8">
        <v>10000</v>
      </c>
      <c r="C2" s="8">
        <v>1E-4</v>
      </c>
    </row>
    <row r="3" spans="1:3" x14ac:dyDescent="0.25">
      <c r="A3" s="8" t="s">
        <v>40</v>
      </c>
      <c r="B3" s="8">
        <v>100</v>
      </c>
      <c r="C3" s="8">
        <v>0.01</v>
      </c>
    </row>
    <row r="4" spans="1:3" x14ac:dyDescent="0.25">
      <c r="A4" s="8" t="s">
        <v>41</v>
      </c>
      <c r="B4" s="8">
        <v>1</v>
      </c>
      <c r="C4" s="8">
        <v>0.01</v>
      </c>
    </row>
    <row r="5" spans="1:3" x14ac:dyDescent="0.25">
      <c r="A5" s="8" t="s">
        <v>42</v>
      </c>
      <c r="B5" s="8">
        <v>1</v>
      </c>
      <c r="C5" s="8">
        <v>1</v>
      </c>
    </row>
    <row r="6" spans="1:3" x14ac:dyDescent="0.25">
      <c r="A6" s="8" t="s">
        <v>43</v>
      </c>
      <c r="B6" s="8">
        <v>1</v>
      </c>
      <c r="C6" s="8">
        <v>0.01</v>
      </c>
    </row>
    <row r="7" spans="1:3" x14ac:dyDescent="0.25">
      <c r="A7" s="8" t="s">
        <v>44</v>
      </c>
      <c r="B7" s="8">
        <v>1</v>
      </c>
      <c r="C7" s="8">
        <v>0.1</v>
      </c>
    </row>
    <row r="8" spans="1:3" x14ac:dyDescent="0.25">
      <c r="A8" s="8" t="s">
        <v>45</v>
      </c>
      <c r="B8" s="8">
        <v>10000</v>
      </c>
      <c r="C8" s="8">
        <v>1E-4</v>
      </c>
    </row>
    <row r="9" spans="1:3" x14ac:dyDescent="0.25">
      <c r="A9" s="8" t="s">
        <v>46</v>
      </c>
      <c r="B9" s="8">
        <v>100</v>
      </c>
      <c r="C9" s="8">
        <v>0.01</v>
      </c>
    </row>
    <row r="10" spans="1:3" x14ac:dyDescent="0.25">
      <c r="A10" s="8" t="s">
        <v>47</v>
      </c>
      <c r="B10" s="10">
        <v>10000</v>
      </c>
      <c r="C10" s="8">
        <v>1E-4</v>
      </c>
    </row>
    <row r="11" spans="1:3" x14ac:dyDescent="0.25">
      <c r="A11" s="8" t="s">
        <v>48</v>
      </c>
      <c r="B11" s="8">
        <v>10000</v>
      </c>
      <c r="C11" s="8">
        <v>1E-4</v>
      </c>
    </row>
    <row r="12" spans="1:3" x14ac:dyDescent="0.25">
      <c r="A12" s="8" t="s">
        <v>49</v>
      </c>
      <c r="B12" s="8">
        <v>10000</v>
      </c>
      <c r="C12" s="8">
        <v>1E-4</v>
      </c>
    </row>
    <row r="13" spans="1:3" x14ac:dyDescent="0.25">
      <c r="A13" s="8" t="s">
        <v>50</v>
      </c>
      <c r="B13" s="8">
        <v>10000</v>
      </c>
      <c r="C13" s="8">
        <v>1E-4</v>
      </c>
    </row>
    <row r="14" spans="1:3" x14ac:dyDescent="0.25">
      <c r="A14" s="8" t="s">
        <v>51</v>
      </c>
      <c r="B14" s="8">
        <v>10000</v>
      </c>
      <c r="C14" s="8">
        <v>1E-4</v>
      </c>
    </row>
    <row r="15" spans="1:3" x14ac:dyDescent="0.25">
      <c r="A15" s="8" t="s">
        <v>52</v>
      </c>
      <c r="B15" s="8">
        <v>100</v>
      </c>
      <c r="C15" s="8">
        <v>0.01</v>
      </c>
    </row>
    <row r="16" spans="1:3" x14ac:dyDescent="0.25">
      <c r="A16" s="8" t="s">
        <v>53</v>
      </c>
      <c r="B16" s="8">
        <v>10000</v>
      </c>
      <c r="C16" s="8">
        <v>1E-4</v>
      </c>
    </row>
    <row r="17" spans="1:3" x14ac:dyDescent="0.25">
      <c r="A17" s="8" t="s">
        <v>54</v>
      </c>
      <c r="B17" s="8">
        <v>10000</v>
      </c>
      <c r="C17" s="8">
        <v>1E-4</v>
      </c>
    </row>
    <row r="18" spans="1:3" x14ac:dyDescent="0.25">
      <c r="A18" s="8" t="s">
        <v>55</v>
      </c>
      <c r="B18" s="8">
        <v>10000</v>
      </c>
      <c r="C18" s="8">
        <v>1E-4</v>
      </c>
    </row>
    <row r="19" spans="1:3" x14ac:dyDescent="0.25">
      <c r="A19" s="8" t="s">
        <v>56</v>
      </c>
      <c r="B19" s="10">
        <v>10000</v>
      </c>
      <c r="C19" s="8">
        <v>1E-4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Sheet12</vt:lpstr>
      <vt:lpstr>FxImpliedYieldTickers</vt:lpstr>
      <vt:lpstr>FxSpotTickers</vt:lpstr>
      <vt:lpstr>FxFixingTickers</vt:lpstr>
      <vt:lpstr>FxPointsTickers</vt:lpstr>
      <vt:lpstr>FxForwardTickers</vt:lpstr>
      <vt:lpstr>FxVolTickers</vt:lpstr>
      <vt:lpstr>TenorsCalendarDays</vt:lpstr>
      <vt:lpstr>TenorsBusinessDays</vt:lpstr>
      <vt:lpstr>CurrPairRateConventions</vt:lpstr>
      <vt:lpstr>CurrPairSpotDaysConventions</vt:lpstr>
      <vt:lpstr>CurrRateConventions</vt:lpstr>
      <vt:lpstr>SwapFactors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Sugat Dhara</dc:creator>
  <cp:lastModifiedBy>Sugat Dhara</cp:lastModifiedBy>
  <dcterms:created xsi:type="dcterms:W3CDTF">2026-05-08T00:45:26Z</dcterms:created>
  <dcterms:modified xsi:type="dcterms:W3CDTF">2026-05-12T11:14:08Z</dcterms:modified>
</cp:coreProperties>
</file>